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E5E2E9C-E9F0-42D4-98F4-ED697148D969}" xr6:coauthVersionLast="47" xr6:coauthVersionMax="47" xr10:uidLastSave="{00000000-0000-0000-0000-000000000000}"/>
  <bookViews>
    <workbookView xWindow="2544" yWindow="2544" windowWidth="17280" windowHeight="8964" activeTab="1" xr2:uid="{00000000-000D-0000-FFFF-FFFF00000000}"/>
  </bookViews>
  <sheets>
    <sheet name="Employees" sheetId="1" r:id="rId1"/>
    <sheet name="SalaryDetails" sheetId="2" r:id="rId2"/>
    <sheet name="Sheet1" sheetId="3" r:id="rId3"/>
  </sheets>
  <definedNames>
    <definedName name="_xlnm._FilterDatabase" localSheetId="0" hidden="1">Employees!$A$1:$P$201</definedName>
    <definedName name="_xlnm._FilterDatabase" localSheetId="1" hidden="1">SalaryDetails!$A$1:$A$201</definedName>
    <definedName name="_xlnm._FilterDatabase" localSheetId="2" hidden="1">Sheet1!$A$1:$L$201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" i="3"/>
  <c r="D2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90" i="3"/>
  <c r="B91" i="3"/>
  <c r="B92" i="3"/>
  <c r="B93" i="3"/>
  <c r="B94" i="3"/>
  <c r="B95" i="3"/>
  <c r="B96" i="3"/>
  <c r="B83" i="3"/>
  <c r="B84" i="3"/>
  <c r="B85" i="3"/>
  <c r="B86" i="3"/>
  <c r="B87" i="3"/>
  <c r="B88" i="3"/>
  <c r="B89" i="3"/>
  <c r="B80" i="3"/>
  <c r="B81" i="3"/>
  <c r="B82" i="3"/>
  <c r="B72" i="3"/>
  <c r="B73" i="3"/>
  <c r="B74" i="3"/>
  <c r="B75" i="3"/>
  <c r="B76" i="3"/>
  <c r="B77" i="3"/>
  <c r="B78" i="3"/>
  <c r="B79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16" i="3"/>
  <c r="B17" i="3"/>
  <c r="B18" i="3"/>
  <c r="B19" i="3"/>
  <c r="B20" i="3"/>
  <c r="B21" i="3"/>
  <c r="B22" i="3"/>
  <c r="B23" i="3"/>
  <c r="B24" i="3"/>
  <c r="B25" i="3"/>
  <c r="B26" i="3"/>
  <c r="B27" i="3"/>
  <c r="B11" i="3"/>
  <c r="B12" i="3"/>
  <c r="B13" i="3"/>
  <c r="B14" i="3"/>
  <c r="B15" i="3"/>
  <c r="B3" i="3"/>
  <c r="B4" i="3"/>
  <c r="B5" i="3"/>
  <c r="B6" i="3"/>
  <c r="B7" i="3"/>
  <c r="B8" i="3"/>
  <c r="B9" i="3"/>
  <c r="B10" i="3"/>
  <c r="B2" i="3"/>
</calcChain>
</file>

<file path=xl/sharedStrings.xml><?xml version="1.0" encoding="utf-8"?>
<sst xmlns="http://schemas.openxmlformats.org/spreadsheetml/2006/main" count="2036" uniqueCount="462">
  <si>
    <t>EmployeeID</t>
  </si>
  <si>
    <t>Name</t>
  </si>
  <si>
    <t>Gender</t>
  </si>
  <si>
    <t>Age</t>
  </si>
  <si>
    <t>Department</t>
  </si>
  <si>
    <t>JobTitle</t>
  </si>
  <si>
    <t>HireDate</t>
  </si>
  <si>
    <t>TerminationDate</t>
  </si>
  <si>
    <t>EmploymentStatus</t>
  </si>
  <si>
    <t>Manager</t>
  </si>
  <si>
    <t>Location</t>
  </si>
  <si>
    <t>PerformanceRating</t>
  </si>
  <si>
    <t>TrainingHours</t>
  </si>
  <si>
    <t>SickDays</t>
  </si>
  <si>
    <t>OvertimeHours</t>
  </si>
  <si>
    <t>E001</t>
  </si>
  <si>
    <t>Employee_1</t>
  </si>
  <si>
    <t>M</t>
  </si>
  <si>
    <t>Finance</t>
  </si>
  <si>
    <t>Accountant</t>
  </si>
  <si>
    <t>Terminated</t>
  </si>
  <si>
    <t>CEO</t>
  </si>
  <si>
    <t>Cairo</t>
  </si>
  <si>
    <t>E002</t>
  </si>
  <si>
    <t>Employee_2</t>
  </si>
  <si>
    <t>HR</t>
  </si>
  <si>
    <t>HR Specialist</t>
  </si>
  <si>
    <t>Giza</t>
  </si>
  <si>
    <t>E003</t>
  </si>
  <si>
    <t>Employee_3</t>
  </si>
  <si>
    <t>Sales</t>
  </si>
  <si>
    <t>Sales Manager</t>
  </si>
  <si>
    <t>Sarah Ahmed</t>
  </si>
  <si>
    <t>E004</t>
  </si>
  <si>
    <t>Employee_4</t>
  </si>
  <si>
    <t>F</t>
  </si>
  <si>
    <t>Account Manager</t>
  </si>
  <si>
    <t>Active</t>
  </si>
  <si>
    <t>Alexandria</t>
  </si>
  <si>
    <t>E005</t>
  </si>
  <si>
    <t>Employee_5</t>
  </si>
  <si>
    <t>IT</t>
  </si>
  <si>
    <t>Data Analyst</t>
  </si>
  <si>
    <t>Mariam Yous</t>
  </si>
  <si>
    <t>E006</t>
  </si>
  <si>
    <t>Employee_6</t>
  </si>
  <si>
    <t>Finance Manager</t>
  </si>
  <si>
    <t>E007</t>
  </si>
  <si>
    <t>Employee_7</t>
  </si>
  <si>
    <t>Financial Analyst</t>
  </si>
  <si>
    <t>E008</t>
  </si>
  <si>
    <t>Employee_8</t>
  </si>
  <si>
    <t>Mona Lotfy</t>
  </si>
  <si>
    <t>E009</t>
  </si>
  <si>
    <t>Employee_9</t>
  </si>
  <si>
    <t>Marketing</t>
  </si>
  <si>
    <t>Marketing Manager</t>
  </si>
  <si>
    <t>E010</t>
  </si>
  <si>
    <t>Employee_10</t>
  </si>
  <si>
    <t>E011</t>
  </si>
  <si>
    <t>Employee_11</t>
  </si>
  <si>
    <t>Data Scientist</t>
  </si>
  <si>
    <t>E012</t>
  </si>
  <si>
    <t>Employee_12</t>
  </si>
  <si>
    <t>Marketing Specialist</t>
  </si>
  <si>
    <t>E013</t>
  </si>
  <si>
    <t>Employee_13</t>
  </si>
  <si>
    <t>E014</t>
  </si>
  <si>
    <t>Employee_14</t>
  </si>
  <si>
    <t>E015</t>
  </si>
  <si>
    <t>Employee_15</t>
  </si>
  <si>
    <t>Mohamed Said</t>
  </si>
  <si>
    <t>E016</t>
  </si>
  <si>
    <t>Employee_16</t>
  </si>
  <si>
    <t>E017</t>
  </si>
  <si>
    <t>Employee_17</t>
  </si>
  <si>
    <t>SEO Analyst</t>
  </si>
  <si>
    <t>E018</t>
  </si>
  <si>
    <t>Employee_18</t>
  </si>
  <si>
    <t>E019</t>
  </si>
  <si>
    <t>Employee_19</t>
  </si>
  <si>
    <t>E020</t>
  </si>
  <si>
    <t>Employee_20</t>
  </si>
  <si>
    <t>Software Engineer</t>
  </si>
  <si>
    <t>E021</t>
  </si>
  <si>
    <t>Employee_21</t>
  </si>
  <si>
    <t>E022</t>
  </si>
  <si>
    <t>Employee_22</t>
  </si>
  <si>
    <t>E023</t>
  </si>
  <si>
    <t>Employee_23</t>
  </si>
  <si>
    <t>Sales Executive</t>
  </si>
  <si>
    <t>E024</t>
  </si>
  <si>
    <t>Employee_24</t>
  </si>
  <si>
    <t>E025</t>
  </si>
  <si>
    <t>Employee_25</t>
  </si>
  <si>
    <t>E026</t>
  </si>
  <si>
    <t>Employee_26</t>
  </si>
  <si>
    <t>Recruiter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</si>
  <si>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</si>
  <si>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</si>
  <si>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</si>
  <si>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</si>
  <si>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</si>
  <si>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</si>
  <si>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</si>
  <si>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</si>
  <si>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HR Manager</t>
  </si>
  <si>
    <t>E031</t>
  </si>
  <si>
    <t>Employee_31</t>
  </si>
  <si>
    <t>E032</t>
  </si>
  <si>
    <t>Employee_32</t>
  </si>
  <si>
    <t>System Admin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</si>
  <si>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</si>
  <si>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</si>
  <si>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</si>
  <si>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</si>
  <si>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</si>
  <si>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</si>
  <si>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</si>
  <si>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</si>
  <si>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</si>
  <si>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</si>
  <si>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</si>
  <si>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</si>
  <si>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</si>
  <si>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</si>
  <si>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</si>
  <si>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</si>
  <si>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</si>
  <si>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</si>
  <si>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</si>
  <si>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</si>
  <si>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</si>
  <si>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</si>
  <si>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</si>
  <si>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</si>
  <si>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</si>
  <si>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</si>
  <si>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</si>
  <si>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</si>
  <si>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</si>
  <si>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</si>
  <si>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</si>
  <si>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</si>
  <si>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</si>
  <si>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</si>
  <si>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</si>
  <si>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</si>
  <si>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E051</t>
  </si>
  <si>
    <t>Employee_51</t>
  </si>
  <si>
    <t>E052</t>
  </si>
  <si>
    <t>Employee_52</t>
  </si>
  <si>
    <t>E053</t>
  </si>
  <si>
    <t>Employee_53</t>
  </si>
  <si>
    <t>E054</t>
  </si>
  <si>
    <t>Employee_54</t>
  </si>
  <si>
    <t>E055</t>
  </si>
  <si>
    <t>Employee_55</t>
  </si>
  <si>
    <t>E056</t>
  </si>
  <si>
    <t>Employee_56</t>
  </si>
  <si>
    <t>E057</t>
  </si>
  <si>
    <t>Employee_57</t>
  </si>
  <si>
    <t>E058</t>
  </si>
  <si>
    <t>Employee_58</t>
  </si>
  <si>
    <t>E059</t>
  </si>
  <si>
    <t>Employee_59</t>
  </si>
  <si>
    <t>E060</t>
  </si>
  <si>
    <t>Employee_60</t>
  </si>
  <si>
    <t>E061</t>
  </si>
  <si>
    <t>Employee_61</t>
  </si>
  <si>
    <t>E062</t>
  </si>
  <si>
    <t>Employee_62</t>
  </si>
  <si>
    <t>E063</t>
  </si>
  <si>
    <t>Employee_63</t>
  </si>
  <si>
    <t>E064</t>
  </si>
  <si>
    <t>Employee_64</t>
  </si>
  <si>
    <t>E065</t>
  </si>
  <si>
    <t>Employee_65</t>
  </si>
  <si>
    <t>E066</t>
  </si>
  <si>
    <t>Employee_66</t>
  </si>
  <si>
    <t>E067</t>
  </si>
  <si>
    <t>Employee_67</t>
  </si>
  <si>
    <t>E068</t>
  </si>
  <si>
    <t>Employee_68</t>
  </si>
  <si>
    <t>E069</t>
  </si>
  <si>
    <t>Employee_69</t>
  </si>
  <si>
    <t>E070</t>
  </si>
  <si>
    <t>Employee_70</t>
  </si>
  <si>
    <t>E071</t>
  </si>
  <si>
    <t>Employee_71</t>
  </si>
  <si>
    <t>E072</t>
  </si>
  <si>
    <t>Employee_72</t>
  </si>
  <si>
    <t>E073</t>
  </si>
  <si>
    <t>Employee_73</t>
  </si>
  <si>
    <t>E074</t>
  </si>
  <si>
    <t>Employee_74</t>
  </si>
  <si>
    <t>E075</t>
  </si>
  <si>
    <t>Employee_75</t>
  </si>
  <si>
    <t>E076</t>
  </si>
  <si>
    <t>Employee_76</t>
  </si>
  <si>
    <t>E077</t>
  </si>
  <si>
    <t>Employee_77</t>
  </si>
  <si>
    <t>E078</t>
  </si>
  <si>
    <t>Employee_78</t>
  </si>
  <si>
    <t>E079</t>
  </si>
  <si>
    <t>Employee_79</t>
  </si>
  <si>
    <t>E080</t>
  </si>
  <si>
    <t>Employee_80</t>
  </si>
  <si>
    <t>E081</t>
  </si>
  <si>
    <t>Employee_81</t>
  </si>
  <si>
    <t>E082</t>
  </si>
  <si>
    <t>Employee_82</t>
  </si>
  <si>
    <t>E083</t>
  </si>
  <si>
    <t>Employee_83</t>
  </si>
  <si>
    <t>E084</t>
  </si>
  <si>
    <t>Employee_84</t>
  </si>
  <si>
    <t>E085</t>
  </si>
  <si>
    <t>Employee_85</t>
  </si>
  <si>
    <t>E086</t>
  </si>
  <si>
    <t>Employee_86</t>
  </si>
  <si>
    <t>E087</t>
  </si>
  <si>
    <t>Employee_87</t>
  </si>
  <si>
    <t>E088</t>
  </si>
  <si>
    <t>Employee_88</t>
  </si>
  <si>
    <t>E089</t>
  </si>
  <si>
    <t>Employee_89</t>
  </si>
  <si>
    <t>E090</t>
  </si>
  <si>
    <t>Employee_90</t>
  </si>
  <si>
    <t>E091</t>
  </si>
  <si>
    <t>Employee_91</t>
  </si>
  <si>
    <t>E092</t>
  </si>
  <si>
    <t>Employee_92</t>
  </si>
  <si>
    <t>E093</t>
  </si>
  <si>
    <t>Employee_93</t>
  </si>
  <si>
    <t>E094</t>
  </si>
  <si>
    <t>Employee_94</t>
  </si>
  <si>
    <t>E095</t>
  </si>
  <si>
    <t>Employee_95</t>
  </si>
  <si>
    <t>E096</t>
  </si>
  <si>
    <t>Employee_96</t>
  </si>
  <si>
    <t>E097</t>
  </si>
  <si>
    <t>Employee_97</t>
  </si>
  <si>
    <t>E098</t>
  </si>
  <si>
    <t>Employee_98</t>
  </si>
  <si>
    <t>E099</t>
  </si>
  <si>
    <t>Employee_99</t>
  </si>
  <si>
    <t>E100</t>
  </si>
  <si>
    <t>Employee_100</t>
  </si>
  <si>
    <t>E101</t>
  </si>
  <si>
    <t>Employee_101</t>
  </si>
  <si>
    <t>E102</t>
  </si>
  <si>
    <t>Employee_102</t>
  </si>
  <si>
    <t>E103</t>
  </si>
  <si>
    <t>Employee_103</t>
  </si>
  <si>
    <t>E104</t>
  </si>
  <si>
    <t>Employee_104</t>
  </si>
  <si>
    <t>E105</t>
  </si>
  <si>
    <t>Employee_105</t>
  </si>
  <si>
    <t>E106</t>
  </si>
  <si>
    <t>Employee_106</t>
  </si>
  <si>
    <t>E107</t>
  </si>
  <si>
    <t>Employee_107</t>
  </si>
  <si>
    <t>E108</t>
  </si>
  <si>
    <t>Employee_108</t>
  </si>
  <si>
    <t>E109</t>
  </si>
  <si>
    <t>Employee_109</t>
  </si>
  <si>
    <t>E110</t>
  </si>
  <si>
    <t>Employee_110</t>
  </si>
  <si>
    <t>E111</t>
  </si>
  <si>
    <t>Employee_111</t>
  </si>
  <si>
    <t>E112</t>
  </si>
  <si>
    <t>Employee_112</t>
  </si>
  <si>
    <t>E113</t>
  </si>
  <si>
    <t>Employee_113</t>
  </si>
  <si>
    <t>E114</t>
  </si>
  <si>
    <t>Employee_114</t>
  </si>
  <si>
    <t>E115</t>
  </si>
  <si>
    <t>Employee_115</t>
  </si>
  <si>
    <t>E116</t>
  </si>
  <si>
    <t>Employee_116</t>
  </si>
  <si>
    <t>E117</t>
  </si>
  <si>
    <t>Employee_117</t>
  </si>
  <si>
    <t>E118</t>
  </si>
  <si>
    <t>Employee_118</t>
  </si>
  <si>
    <t>E119</t>
  </si>
  <si>
    <t>Employee_119</t>
  </si>
  <si>
    <t>E120</t>
  </si>
  <si>
    <t>Employee_120</t>
  </si>
  <si>
    <t>E121</t>
  </si>
  <si>
    <t>Employee_121</t>
  </si>
  <si>
    <t>E122</t>
  </si>
  <si>
    <t>Employee_122</t>
  </si>
  <si>
    <t>E123</t>
  </si>
  <si>
    <t>Employee_123</t>
  </si>
  <si>
    <t>E124</t>
  </si>
  <si>
    <t>Employee_124</t>
  </si>
  <si>
    <t>E125</t>
  </si>
  <si>
    <t>Employee_125</t>
  </si>
  <si>
    <t>E126</t>
  </si>
  <si>
    <t>Employee_126</t>
  </si>
  <si>
    <t>E127</t>
  </si>
  <si>
    <t>Employee_127</t>
  </si>
  <si>
    <t>E128</t>
  </si>
  <si>
    <t>Employee_128</t>
  </si>
  <si>
    <t>E129</t>
  </si>
  <si>
    <t>Employee_129</t>
  </si>
  <si>
    <t>E130</t>
  </si>
  <si>
    <t>Employee_130</t>
  </si>
  <si>
    <t>E131</t>
  </si>
  <si>
    <t>Employee_131</t>
  </si>
  <si>
    <t>E132</t>
  </si>
  <si>
    <t>Employee_132</t>
  </si>
  <si>
    <t>E133</t>
  </si>
  <si>
    <t>Employee_133</t>
  </si>
  <si>
    <t>E134</t>
  </si>
  <si>
    <t>Employee_134</t>
  </si>
  <si>
    <t>E135</t>
  </si>
  <si>
    <t>Employee_135</t>
  </si>
  <si>
    <t>E136</t>
  </si>
  <si>
    <t>Employee_136</t>
  </si>
  <si>
    <t>E137</t>
  </si>
  <si>
    <t>Employee_137</t>
  </si>
  <si>
    <t>E138</t>
  </si>
  <si>
    <t>Employee_138</t>
  </si>
  <si>
    <t>E139</t>
  </si>
  <si>
    <t>Employee_139</t>
  </si>
  <si>
    <t>E140</t>
  </si>
  <si>
    <t>Employee_140</t>
  </si>
  <si>
    <t>E141</t>
  </si>
  <si>
    <t>Employee_141</t>
  </si>
  <si>
    <t>E142</t>
  </si>
  <si>
    <t>Employee_142</t>
  </si>
  <si>
    <t>E143</t>
  </si>
  <si>
    <t>Employee_143</t>
  </si>
  <si>
    <t>E144</t>
  </si>
  <si>
    <t>Employee_144</t>
  </si>
  <si>
    <t>E145</t>
  </si>
  <si>
    <t>Employee_145</t>
  </si>
  <si>
    <t>E146</t>
  </si>
  <si>
    <t>Employee_146</t>
  </si>
  <si>
    <t>E147</t>
  </si>
  <si>
    <t>Employee_147</t>
  </si>
  <si>
    <t>E148</t>
  </si>
  <si>
    <t>Employee_148</t>
  </si>
  <si>
    <t>E149</t>
  </si>
  <si>
    <t>Employee_149</t>
  </si>
  <si>
    <t>E150</t>
  </si>
  <si>
    <t>Employee_150</t>
  </si>
  <si>
    <t>E151</t>
  </si>
  <si>
    <t>Employee_151</t>
  </si>
  <si>
    <t>E152</t>
  </si>
  <si>
    <t>Employee_152</t>
  </si>
  <si>
    <t>E153</t>
  </si>
  <si>
    <t>Employee_153</t>
  </si>
  <si>
    <t>E154</t>
  </si>
  <si>
    <t>Employee_154</t>
  </si>
  <si>
    <t>E155</t>
  </si>
  <si>
    <t>Employee_155</t>
  </si>
  <si>
    <t>E156</t>
  </si>
  <si>
    <t>Employee_156</t>
  </si>
  <si>
    <t>E157</t>
  </si>
  <si>
    <t>Employee_157</t>
  </si>
  <si>
    <t>E158</t>
  </si>
  <si>
    <t>Employee_158</t>
  </si>
  <si>
    <t>E159</t>
  </si>
  <si>
    <t>Employee_159</t>
  </si>
  <si>
    <t>E160</t>
  </si>
  <si>
    <t>Employee_160</t>
  </si>
  <si>
    <t>E161</t>
  </si>
  <si>
    <t>Employee_161</t>
  </si>
  <si>
    <t>E162</t>
  </si>
  <si>
    <t>Employee_162</t>
  </si>
  <si>
    <t>E163</t>
  </si>
  <si>
    <t>Employee_163</t>
  </si>
  <si>
    <t>E164</t>
  </si>
  <si>
    <t>Employee_164</t>
  </si>
  <si>
    <t>E165</t>
  </si>
  <si>
    <t>Employee_165</t>
  </si>
  <si>
    <t>E166</t>
  </si>
  <si>
    <t>Employee_166</t>
  </si>
  <si>
    <t>E167</t>
  </si>
  <si>
    <t>Employee_167</t>
  </si>
  <si>
    <t>E168</t>
  </si>
  <si>
    <t>Employee_168</t>
  </si>
  <si>
    <t>E169</t>
  </si>
  <si>
    <t>Employee_169</t>
  </si>
  <si>
    <t>E170</t>
  </si>
  <si>
    <t>Employee_170</t>
  </si>
  <si>
    <t>E171</t>
  </si>
  <si>
    <t>Employee_171</t>
  </si>
  <si>
    <t>E172</t>
  </si>
  <si>
    <t>Employee_172</t>
  </si>
  <si>
    <t>E173</t>
  </si>
  <si>
    <t>Employee_173</t>
  </si>
  <si>
    <t>E174</t>
  </si>
  <si>
    <t>Employee_174</t>
  </si>
  <si>
    <t>E175</t>
  </si>
  <si>
    <t>Employee_175</t>
  </si>
  <si>
    <t>E176</t>
  </si>
  <si>
    <t>Employee_176</t>
  </si>
  <si>
    <t>E177</t>
  </si>
  <si>
    <t>Employee_177</t>
  </si>
  <si>
    <t>E178</t>
  </si>
  <si>
    <t>Employee_178</t>
  </si>
  <si>
    <t>E179</t>
  </si>
  <si>
    <t>Employee_179</t>
  </si>
  <si>
    <t>E180</t>
  </si>
  <si>
    <t>Employee_180</t>
  </si>
  <si>
    <t>E181</t>
  </si>
  <si>
    <t>Employee_181</t>
  </si>
  <si>
    <t>E182</t>
  </si>
  <si>
    <t>Employee_182</t>
  </si>
  <si>
    <t>E183</t>
  </si>
  <si>
    <t>Employee_183</t>
  </si>
  <si>
    <t>E184</t>
  </si>
  <si>
    <t>Employee_184</t>
  </si>
  <si>
    <t>E185</t>
  </si>
  <si>
    <t>Employee_185</t>
  </si>
  <si>
    <t>E186</t>
  </si>
  <si>
    <t>Employee_186</t>
  </si>
  <si>
    <t>E187</t>
  </si>
  <si>
    <t>Employee_187</t>
  </si>
  <si>
    <t>E188</t>
  </si>
  <si>
    <t>Employee_188</t>
  </si>
  <si>
    <t>E189</t>
  </si>
  <si>
    <t>Employee_189</t>
  </si>
  <si>
    <t>E190</t>
  </si>
  <si>
    <t>Employee_190</t>
  </si>
  <si>
    <t>E191</t>
  </si>
  <si>
    <t>Employee_191</t>
  </si>
  <si>
    <t>E192</t>
  </si>
  <si>
    <t>Employee_192</t>
  </si>
  <si>
    <t>E193</t>
  </si>
  <si>
    <t>Employee_193</t>
  </si>
  <si>
    <t>E194</t>
  </si>
  <si>
    <t>Employee_194</t>
  </si>
  <si>
    <t>E195</t>
  </si>
  <si>
    <t>Employee_195</t>
  </si>
  <si>
    <t>E196</t>
  </si>
  <si>
    <t>Employee_196</t>
  </si>
  <si>
    <t>E197</t>
  </si>
  <si>
    <t>Employee_197</t>
  </si>
  <si>
    <t>E198</t>
  </si>
  <si>
    <t>Employee_198</t>
  </si>
  <si>
    <t>E199</t>
  </si>
  <si>
    <t>Employee_199</t>
  </si>
  <si>
    <t>E200</t>
  </si>
  <si>
    <t>Employee_200</t>
  </si>
  <si>
    <t>BaseSalary</t>
  </si>
  <si>
    <t>OvertimePay</t>
  </si>
  <si>
    <t>Deductions</t>
  </si>
  <si>
    <t>GrossSalary</t>
  </si>
  <si>
    <t>NetSalary</t>
  </si>
  <si>
    <t>Birth_date</t>
  </si>
  <si>
    <t>TESTT</t>
  </si>
  <si>
    <t>TEST</t>
  </si>
  <si>
    <t>TESST</t>
  </si>
  <si>
    <t>TTEST</t>
  </si>
  <si>
    <t>TESSTT</t>
  </si>
  <si>
    <t>TOST</t>
  </si>
  <si>
    <t>188-50</t>
  </si>
  <si>
    <t>1150-359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</si>
</sst>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2" fillId="0" borderId="0" xfId="0" applyFont="1" applyBorder="1" applyAlignment="1"/>
    <xf numFmtId="0" fontId="0" fillId="2" borderId="0" xfId="0" applyFill="1"/>
    <xf numFmtId="0" fontId="2" fillId="2" borderId="0" xfId="0" applyFont="1" applyFill="1" applyBorder="1" applyAlignment="1"/>
    <xf numFmtId="0" fontId="3" fillId="0" borderId="2" xfId="0" applyFont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opLeftCell="A58" workbookViewId="0">
      <selection activeCell="K72" sqref="K72"/>
    </sheetView>
  </sheetViews>
  <sheetFormatPr defaultRowHeight="14.4" x14ac:dyDescent="0.3"/>
  <cols>
    <col min="5" max="5" width="10.6640625" bestFit="1" customWidth="1"/>
    <col min="6" max="6" width="11.6640625" bestFit="1" customWidth="1"/>
    <col min="7" max="7" width="19.109375" bestFit="1" customWidth="1"/>
    <col min="8" max="8" width="10.44140625" bestFit="1" customWidth="1"/>
    <col min="9" max="9" width="18.33203125" bestFit="1" customWidth="1"/>
    <col min="13" max="13" width="18.33203125" bestFit="1" customWidth="1"/>
    <col min="14" max="14" width="13.44140625" bestFit="1" customWidth="1"/>
    <col min="15" max="15" width="8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453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>
        <v>23</v>
      </c>
      <c r="E2" s="4">
        <v>37488</v>
      </c>
      <c r="F2" t="s">
        <v>18</v>
      </c>
      <c r="G2" t="s">
        <v>19</v>
      </c>
      <c r="H2" s="2">
        <v>42007</v>
      </c>
      <c r="I2" s="3">
        <v>42426</v>
      </c>
      <c r="J2" t="s">
        <v>20</v>
      </c>
      <c r="K2" t="s">
        <v>21</v>
      </c>
      <c r="L2" t="s">
        <v>22</v>
      </c>
      <c r="M2">
        <v>5</v>
      </c>
      <c r="N2">
        <v>13</v>
      </c>
      <c r="O2">
        <v>0</v>
      </c>
      <c r="P2">
        <v>1</v>
      </c>
    </row>
    <row r="3" spans="1:16" x14ac:dyDescent="0.3">
      <c r="A3" t="s">
        <v>23</v>
      </c>
      <c r="B3" t="s">
        <v>24</v>
      </c>
      <c r="C3" t="s">
        <v>17</v>
      </c>
      <c r="D3">
        <v>35</v>
      </c>
      <c r="E3" s="4">
        <v>33171</v>
      </c>
      <c r="F3" t="s">
        <v>25</v>
      </c>
      <c r="G3" t="s">
        <v>26</v>
      </c>
      <c r="H3" s="2">
        <v>45110</v>
      </c>
      <c r="I3" s="3">
        <v>45160</v>
      </c>
      <c r="J3" t="s">
        <v>20</v>
      </c>
      <c r="K3" t="s">
        <v>21</v>
      </c>
      <c r="L3" t="s">
        <v>27</v>
      </c>
      <c r="M3">
        <v>2</v>
      </c>
      <c r="N3">
        <v>14</v>
      </c>
      <c r="O3">
        <v>9</v>
      </c>
      <c r="P3">
        <v>17</v>
      </c>
    </row>
    <row r="4" spans="1:16" x14ac:dyDescent="0.3">
      <c r="A4" t="s">
        <v>28</v>
      </c>
      <c r="B4" t="s">
        <v>29</v>
      </c>
      <c r="C4" t="s">
        <v>17</v>
      </c>
      <c r="D4">
        <v>32</v>
      </c>
      <c r="E4" s="4">
        <v>34225</v>
      </c>
      <c r="F4" t="s">
        <v>30</v>
      </c>
      <c r="G4" t="s">
        <v>31</v>
      </c>
      <c r="H4" s="2">
        <v>42455</v>
      </c>
      <c r="I4" s="3">
        <v>43833</v>
      </c>
      <c r="J4" t="s">
        <v>20</v>
      </c>
      <c r="K4" t="s">
        <v>32</v>
      </c>
      <c r="L4" t="s">
        <v>27</v>
      </c>
      <c r="M4">
        <v>1</v>
      </c>
      <c r="N4">
        <v>11</v>
      </c>
      <c r="O4">
        <v>5</v>
      </c>
      <c r="P4">
        <v>38</v>
      </c>
    </row>
    <row r="5" spans="1:16" x14ac:dyDescent="0.3">
      <c r="A5" t="s">
        <v>33</v>
      </c>
      <c r="B5" t="s">
        <v>34</v>
      </c>
      <c r="C5" t="s">
        <v>35</v>
      </c>
      <c r="D5">
        <v>24</v>
      </c>
      <c r="E5" s="4">
        <v>37166</v>
      </c>
      <c r="F5" t="s">
        <v>30</v>
      </c>
      <c r="G5" t="s">
        <v>36</v>
      </c>
      <c r="H5" s="2">
        <v>41201</v>
      </c>
      <c r="J5" t="s">
        <v>37</v>
      </c>
      <c r="K5" t="s">
        <v>32</v>
      </c>
      <c r="L5" t="s">
        <v>38</v>
      </c>
      <c r="M5">
        <v>3</v>
      </c>
      <c r="N5">
        <v>26</v>
      </c>
      <c r="O5">
        <v>10</v>
      </c>
      <c r="P5">
        <v>39</v>
      </c>
    </row>
    <row r="6" spans="1:16" x14ac:dyDescent="0.3">
      <c r="A6" t="s">
        <v>39</v>
      </c>
      <c r="B6" t="s">
        <v>40</v>
      </c>
      <c r="C6" t="s">
        <v>35</v>
      </c>
      <c r="D6">
        <v>33</v>
      </c>
      <c r="E6" s="4">
        <v>33789</v>
      </c>
      <c r="F6" t="s">
        <v>41</v>
      </c>
      <c r="G6" t="s">
        <v>42</v>
      </c>
      <c r="H6" s="2">
        <v>42045</v>
      </c>
      <c r="J6" t="s">
        <v>37</v>
      </c>
      <c r="K6" t="s">
        <v>43</v>
      </c>
      <c r="L6" t="s">
        <v>22</v>
      </c>
      <c r="M6">
        <v>4</v>
      </c>
      <c r="N6">
        <v>8</v>
      </c>
      <c r="O6">
        <v>7</v>
      </c>
      <c r="P6">
        <v>40</v>
      </c>
    </row>
    <row r="7" spans="1:16" x14ac:dyDescent="0.3">
      <c r="A7" t="s">
        <v>44</v>
      </c>
      <c r="B7" t="s">
        <v>45</v>
      </c>
      <c r="C7" t="s">
        <v>35</v>
      </c>
      <c r="D7">
        <v>32</v>
      </c>
      <c r="E7" s="4">
        <v>33991</v>
      </c>
      <c r="F7" t="s">
        <v>18</v>
      </c>
      <c r="G7" t="s">
        <v>46</v>
      </c>
      <c r="H7" s="2">
        <v>41895</v>
      </c>
      <c r="J7" t="s">
        <v>37</v>
      </c>
      <c r="K7" t="s">
        <v>32</v>
      </c>
      <c r="L7" t="s">
        <v>38</v>
      </c>
      <c r="M7">
        <v>2</v>
      </c>
      <c r="N7">
        <v>17</v>
      </c>
      <c r="O7">
        <v>3</v>
      </c>
      <c r="P7">
        <v>10</v>
      </c>
    </row>
    <row r="8" spans="1:16" x14ac:dyDescent="0.3">
      <c r="A8" t="s">
        <v>47</v>
      </c>
      <c r="B8" t="s">
        <v>48</v>
      </c>
      <c r="C8" t="s">
        <v>35</v>
      </c>
      <c r="D8">
        <v>46</v>
      </c>
      <c r="E8" s="4">
        <v>29138</v>
      </c>
      <c r="F8" t="s">
        <v>18</v>
      </c>
      <c r="G8" t="s">
        <v>49</v>
      </c>
      <c r="H8" s="2">
        <v>44741</v>
      </c>
      <c r="J8" t="s">
        <v>37</v>
      </c>
      <c r="K8" t="s">
        <v>32</v>
      </c>
      <c r="L8" t="s">
        <v>22</v>
      </c>
      <c r="M8">
        <v>1</v>
      </c>
      <c r="N8">
        <v>25</v>
      </c>
      <c r="O8">
        <v>5</v>
      </c>
      <c r="P8">
        <v>25</v>
      </c>
    </row>
    <row r="9" spans="1:16" x14ac:dyDescent="0.3">
      <c r="A9" t="s">
        <v>50</v>
      </c>
      <c r="B9" t="s">
        <v>51</v>
      </c>
      <c r="C9" t="s">
        <v>35</v>
      </c>
      <c r="D9">
        <v>26</v>
      </c>
      <c r="E9" s="4">
        <v>36163</v>
      </c>
      <c r="F9" t="s">
        <v>25</v>
      </c>
      <c r="G9" t="s">
        <v>26</v>
      </c>
      <c r="H9" s="2">
        <v>42756</v>
      </c>
      <c r="J9" t="s">
        <v>37</v>
      </c>
      <c r="K9" t="s">
        <v>52</v>
      </c>
      <c r="L9" t="s">
        <v>38</v>
      </c>
      <c r="M9">
        <v>4</v>
      </c>
      <c r="N9">
        <v>4</v>
      </c>
      <c r="O9">
        <v>4</v>
      </c>
      <c r="P9">
        <v>8</v>
      </c>
    </row>
    <row r="10" spans="1:16" x14ac:dyDescent="0.3">
      <c r="A10" t="s">
        <v>53</v>
      </c>
      <c r="B10" t="s">
        <v>54</v>
      </c>
      <c r="C10" t="s">
        <v>17</v>
      </c>
      <c r="D10">
        <v>38</v>
      </c>
      <c r="E10" s="4">
        <v>31779</v>
      </c>
      <c r="F10" t="s">
        <v>55</v>
      </c>
      <c r="G10" t="s">
        <v>56</v>
      </c>
      <c r="H10" s="2">
        <v>44959</v>
      </c>
      <c r="J10" t="s">
        <v>37</v>
      </c>
      <c r="K10" t="s">
        <v>43</v>
      </c>
      <c r="L10" t="s">
        <v>38</v>
      </c>
      <c r="M10">
        <v>4</v>
      </c>
      <c r="N10">
        <v>2</v>
      </c>
      <c r="O10">
        <v>0</v>
      </c>
      <c r="P10">
        <v>7</v>
      </c>
    </row>
    <row r="11" spans="1:16" x14ac:dyDescent="0.3">
      <c r="A11" t="s">
        <v>57</v>
      </c>
      <c r="B11" t="s">
        <v>58</v>
      </c>
      <c r="C11" t="s">
        <v>17</v>
      </c>
      <c r="D11">
        <v>32</v>
      </c>
      <c r="E11" s="4">
        <v>34201</v>
      </c>
      <c r="F11" t="s">
        <v>30</v>
      </c>
      <c r="G11" t="s">
        <v>36</v>
      </c>
      <c r="H11" s="2">
        <v>40699</v>
      </c>
      <c r="J11" t="s">
        <v>37</v>
      </c>
      <c r="K11" t="s">
        <v>52</v>
      </c>
      <c r="L11" t="s">
        <v>38</v>
      </c>
      <c r="M11">
        <v>3</v>
      </c>
      <c r="N11">
        <v>17</v>
      </c>
      <c r="O11">
        <v>0</v>
      </c>
      <c r="P11">
        <v>7</v>
      </c>
    </row>
    <row r="12" spans="1:16" x14ac:dyDescent="0.3">
      <c r="A12" t="s">
        <v>59</v>
      </c>
      <c r="B12" t="s">
        <v>60</v>
      </c>
      <c r="C12" t="s">
        <v>35</v>
      </c>
      <c r="D12">
        <v>43</v>
      </c>
      <c r="E12" s="4">
        <v>30215</v>
      </c>
      <c r="F12" t="s">
        <v>41</v>
      </c>
      <c r="G12" t="s">
        <v>61</v>
      </c>
      <c r="H12" s="2">
        <v>43740</v>
      </c>
      <c r="I12" s="3">
        <v>43746</v>
      </c>
      <c r="J12" t="s">
        <v>20</v>
      </c>
      <c r="K12" t="s">
        <v>21</v>
      </c>
      <c r="L12" t="s">
        <v>22</v>
      </c>
      <c r="M12">
        <v>5</v>
      </c>
      <c r="N12">
        <v>29</v>
      </c>
      <c r="O12">
        <v>1</v>
      </c>
      <c r="P12">
        <v>40</v>
      </c>
    </row>
    <row r="13" spans="1:16" x14ac:dyDescent="0.3">
      <c r="A13" t="s">
        <v>62</v>
      </c>
      <c r="B13" t="s">
        <v>63</v>
      </c>
      <c r="C13" t="s">
        <v>35</v>
      </c>
      <c r="D13">
        <v>54</v>
      </c>
      <c r="E13" s="4">
        <v>26048</v>
      </c>
      <c r="F13" t="s">
        <v>55</v>
      </c>
      <c r="G13" t="s">
        <v>64</v>
      </c>
      <c r="H13" s="2">
        <v>41431</v>
      </c>
      <c r="J13" t="s">
        <v>37</v>
      </c>
      <c r="K13" t="s">
        <v>21</v>
      </c>
      <c r="L13" t="s">
        <v>38</v>
      </c>
      <c r="M13">
        <v>1</v>
      </c>
      <c r="N13">
        <v>19</v>
      </c>
      <c r="O13">
        <v>5</v>
      </c>
      <c r="P13">
        <v>31</v>
      </c>
    </row>
    <row r="14" spans="1:16" x14ac:dyDescent="0.3">
      <c r="A14" t="s">
        <v>65</v>
      </c>
      <c r="B14" t="s">
        <v>66</v>
      </c>
      <c r="C14" t="s">
        <v>17</v>
      </c>
      <c r="D14">
        <v>29</v>
      </c>
      <c r="E14" s="4">
        <v>35204</v>
      </c>
      <c r="F14" t="s">
        <v>18</v>
      </c>
      <c r="G14" t="s">
        <v>46</v>
      </c>
      <c r="H14" s="2">
        <v>42140</v>
      </c>
      <c r="I14" s="3">
        <v>44463</v>
      </c>
      <c r="J14" t="s">
        <v>20</v>
      </c>
      <c r="K14" t="s">
        <v>32</v>
      </c>
      <c r="L14" t="s">
        <v>38</v>
      </c>
      <c r="M14">
        <v>4</v>
      </c>
      <c r="N14">
        <v>26</v>
      </c>
      <c r="O14">
        <v>1</v>
      </c>
      <c r="P14">
        <v>34</v>
      </c>
    </row>
    <row r="15" spans="1:16" x14ac:dyDescent="0.3">
      <c r="A15" t="s">
        <v>67</v>
      </c>
      <c r="B15" t="s">
        <v>68</v>
      </c>
      <c r="C15" t="s">
        <v>17</v>
      </c>
      <c r="D15">
        <v>30</v>
      </c>
      <c r="E15" s="4">
        <v>34992</v>
      </c>
      <c r="F15" t="s">
        <v>30</v>
      </c>
      <c r="G15" t="s">
        <v>36</v>
      </c>
      <c r="H15" s="2">
        <v>41531</v>
      </c>
      <c r="I15" s="3">
        <v>44463</v>
      </c>
      <c r="J15" t="s">
        <v>20</v>
      </c>
      <c r="K15" t="s">
        <v>52</v>
      </c>
      <c r="L15" t="s">
        <v>22</v>
      </c>
      <c r="M15">
        <v>5</v>
      </c>
      <c r="N15">
        <v>24</v>
      </c>
      <c r="O15">
        <v>3</v>
      </c>
      <c r="P15">
        <v>19</v>
      </c>
    </row>
    <row r="16" spans="1:16" x14ac:dyDescent="0.3">
      <c r="A16" t="s">
        <v>69</v>
      </c>
      <c r="B16" t="s">
        <v>70</v>
      </c>
      <c r="C16" t="s">
        <v>35</v>
      </c>
      <c r="D16">
        <v>45</v>
      </c>
      <c r="E16" s="4">
        <v>29528</v>
      </c>
      <c r="F16" t="s">
        <v>30</v>
      </c>
      <c r="G16" t="s">
        <v>36</v>
      </c>
      <c r="H16" s="2">
        <v>43877</v>
      </c>
      <c r="I16" s="3">
        <v>44463</v>
      </c>
      <c r="J16" t="s">
        <v>20</v>
      </c>
      <c r="K16" t="s">
        <v>71</v>
      </c>
      <c r="L16" t="s">
        <v>22</v>
      </c>
      <c r="M16">
        <v>5</v>
      </c>
      <c r="N16">
        <v>17</v>
      </c>
      <c r="O16">
        <v>3</v>
      </c>
      <c r="P16">
        <v>37</v>
      </c>
    </row>
    <row r="17" spans="1:16" x14ac:dyDescent="0.3">
      <c r="A17" t="s">
        <v>72</v>
      </c>
      <c r="B17" t="s">
        <v>73</v>
      </c>
      <c r="C17" t="s">
        <v>17</v>
      </c>
      <c r="D17">
        <v>22</v>
      </c>
      <c r="E17" s="4">
        <v>37775</v>
      </c>
      <c r="F17" t="s">
        <v>41</v>
      </c>
      <c r="G17" t="s">
        <v>42</v>
      </c>
      <c r="H17" s="2">
        <v>42054</v>
      </c>
      <c r="I17" s="3">
        <v>44463</v>
      </c>
      <c r="J17" t="s">
        <v>20</v>
      </c>
      <c r="K17" t="s">
        <v>32</v>
      </c>
      <c r="L17" t="s">
        <v>38</v>
      </c>
      <c r="M17">
        <v>2</v>
      </c>
      <c r="N17">
        <v>8</v>
      </c>
      <c r="O17">
        <v>10</v>
      </c>
      <c r="P17">
        <v>31</v>
      </c>
    </row>
    <row r="18" spans="1:16" x14ac:dyDescent="0.3">
      <c r="A18" t="s">
        <v>74</v>
      </c>
      <c r="B18" t="s">
        <v>75</v>
      </c>
      <c r="C18" t="s">
        <v>17</v>
      </c>
      <c r="D18">
        <v>30</v>
      </c>
      <c r="E18" s="4">
        <v>34908</v>
      </c>
      <c r="F18" t="s">
        <v>55</v>
      </c>
      <c r="G18" t="s">
        <v>76</v>
      </c>
      <c r="H18" s="2">
        <v>44051</v>
      </c>
      <c r="J18" t="s">
        <v>37</v>
      </c>
      <c r="K18" t="s">
        <v>52</v>
      </c>
      <c r="L18" t="s">
        <v>22</v>
      </c>
      <c r="M18">
        <v>1</v>
      </c>
      <c r="N18">
        <v>3</v>
      </c>
      <c r="O18">
        <v>10</v>
      </c>
      <c r="P18">
        <v>27</v>
      </c>
    </row>
    <row r="19" spans="1:16" x14ac:dyDescent="0.3">
      <c r="A19" t="s">
        <v>77</v>
      </c>
      <c r="B19" t="s">
        <v>78</v>
      </c>
      <c r="C19" t="s">
        <v>35</v>
      </c>
      <c r="D19">
        <v>49</v>
      </c>
      <c r="E19" s="4">
        <v>28091</v>
      </c>
      <c r="F19" t="s">
        <v>30</v>
      </c>
      <c r="G19" t="s">
        <v>31</v>
      </c>
      <c r="H19" s="2">
        <v>40622</v>
      </c>
      <c r="J19" t="s">
        <v>37</v>
      </c>
      <c r="K19" t="s">
        <v>32</v>
      </c>
      <c r="L19" t="s">
        <v>22</v>
      </c>
      <c r="M19">
        <v>4</v>
      </c>
      <c r="N19">
        <v>23</v>
      </c>
      <c r="O19">
        <v>5</v>
      </c>
      <c r="P19">
        <v>6</v>
      </c>
    </row>
    <row r="20" spans="1:16" x14ac:dyDescent="0.3">
      <c r="A20" t="s">
        <v>79</v>
      </c>
      <c r="B20" t="s">
        <v>80</v>
      </c>
      <c r="C20" t="s">
        <v>17</v>
      </c>
      <c r="D20">
        <v>34</v>
      </c>
      <c r="E20" s="4">
        <v>33396</v>
      </c>
      <c r="F20" t="s">
        <v>25</v>
      </c>
      <c r="G20" t="s">
        <v>26</v>
      </c>
      <c r="H20" s="2">
        <v>43854</v>
      </c>
      <c r="I20" s="3">
        <v>44229</v>
      </c>
      <c r="J20" t="s">
        <v>20</v>
      </c>
      <c r="K20" t="s">
        <v>52</v>
      </c>
      <c r="L20" t="s">
        <v>22</v>
      </c>
      <c r="M20">
        <v>1</v>
      </c>
      <c r="N20">
        <v>14</v>
      </c>
      <c r="O20">
        <v>8</v>
      </c>
      <c r="P20">
        <v>6</v>
      </c>
    </row>
    <row r="21" spans="1:16" x14ac:dyDescent="0.3">
      <c r="A21" t="s">
        <v>81</v>
      </c>
      <c r="B21" t="s">
        <v>82</v>
      </c>
      <c r="C21" t="s">
        <v>17</v>
      </c>
      <c r="D21">
        <v>22</v>
      </c>
      <c r="E21" s="4">
        <v>37681</v>
      </c>
      <c r="F21" t="s">
        <v>41</v>
      </c>
      <c r="G21" t="s">
        <v>83</v>
      </c>
      <c r="H21" s="2">
        <v>41541</v>
      </c>
      <c r="J21" t="s">
        <v>37</v>
      </c>
      <c r="K21" t="s">
        <v>43</v>
      </c>
      <c r="L21" t="s">
        <v>27</v>
      </c>
      <c r="M21">
        <v>1</v>
      </c>
      <c r="N21">
        <v>5</v>
      </c>
      <c r="O21">
        <v>6</v>
      </c>
      <c r="P21">
        <v>0</v>
      </c>
    </row>
    <row r="22" spans="1:16" x14ac:dyDescent="0.3">
      <c r="A22" t="s">
        <v>84</v>
      </c>
      <c r="B22" t="s">
        <v>85</v>
      </c>
      <c r="C22" t="s">
        <v>35</v>
      </c>
      <c r="D22">
        <v>38</v>
      </c>
      <c r="E22" s="4">
        <v>32085</v>
      </c>
      <c r="F22" t="s">
        <v>30</v>
      </c>
      <c r="G22" t="s">
        <v>31</v>
      </c>
      <c r="H22" s="2">
        <v>43644</v>
      </c>
      <c r="J22" t="s">
        <v>37</v>
      </c>
      <c r="K22" t="s">
        <v>52</v>
      </c>
      <c r="L22" t="s">
        <v>22</v>
      </c>
      <c r="M22">
        <v>2</v>
      </c>
      <c r="N22">
        <v>9</v>
      </c>
      <c r="O22">
        <v>3</v>
      </c>
      <c r="P22">
        <v>3</v>
      </c>
    </row>
    <row r="23" spans="1:16" x14ac:dyDescent="0.3">
      <c r="A23" t="s">
        <v>86</v>
      </c>
      <c r="B23" t="s">
        <v>87</v>
      </c>
      <c r="C23" t="s">
        <v>17</v>
      </c>
      <c r="D23">
        <v>42</v>
      </c>
      <c r="E23" s="4">
        <v>30519</v>
      </c>
      <c r="F23" t="s">
        <v>41</v>
      </c>
      <c r="G23" t="s">
        <v>42</v>
      </c>
      <c r="H23" s="2">
        <v>44964</v>
      </c>
      <c r="J23" t="s">
        <v>37</v>
      </c>
      <c r="K23" t="s">
        <v>43</v>
      </c>
      <c r="L23" t="s">
        <v>22</v>
      </c>
      <c r="M23">
        <v>5</v>
      </c>
      <c r="N23">
        <v>2</v>
      </c>
      <c r="O23">
        <v>2</v>
      </c>
      <c r="P23">
        <v>4</v>
      </c>
    </row>
    <row r="24" spans="1:16" x14ac:dyDescent="0.3">
      <c r="A24" t="s">
        <v>88</v>
      </c>
      <c r="B24" t="s">
        <v>89</v>
      </c>
      <c r="C24" t="s">
        <v>17</v>
      </c>
      <c r="D24">
        <v>37</v>
      </c>
      <c r="E24" s="4">
        <v>32337</v>
      </c>
      <c r="F24" t="s">
        <v>30</v>
      </c>
      <c r="G24" t="s">
        <v>90</v>
      </c>
      <c r="H24" s="2">
        <v>44845</v>
      </c>
      <c r="J24" t="s">
        <v>37</v>
      </c>
      <c r="K24" t="s">
        <v>32</v>
      </c>
      <c r="L24" t="s">
        <v>38</v>
      </c>
      <c r="M24">
        <v>1</v>
      </c>
      <c r="N24">
        <v>13</v>
      </c>
      <c r="O24">
        <v>10</v>
      </c>
      <c r="P24">
        <v>37</v>
      </c>
    </row>
    <row r="25" spans="1:16" x14ac:dyDescent="0.3">
      <c r="A25" t="s">
        <v>91</v>
      </c>
      <c r="B25" t="s">
        <v>92</v>
      </c>
      <c r="C25" t="s">
        <v>35</v>
      </c>
      <c r="D25">
        <v>38</v>
      </c>
      <c r="E25" s="4">
        <v>31895</v>
      </c>
      <c r="F25" t="s">
        <v>25</v>
      </c>
      <c r="G25" t="s">
        <v>26</v>
      </c>
      <c r="H25" s="2">
        <v>42752</v>
      </c>
      <c r="J25" t="s">
        <v>37</v>
      </c>
      <c r="K25" t="s">
        <v>43</v>
      </c>
      <c r="L25" t="s">
        <v>38</v>
      </c>
      <c r="M25">
        <v>3</v>
      </c>
      <c r="N25">
        <v>14</v>
      </c>
      <c r="O25">
        <v>5</v>
      </c>
      <c r="P25">
        <v>4</v>
      </c>
    </row>
    <row r="26" spans="1:16" x14ac:dyDescent="0.3">
      <c r="A26" t="s">
        <v>93</v>
      </c>
      <c r="B26" t="s">
        <v>94</v>
      </c>
      <c r="C26" t="s">
        <v>17</v>
      </c>
      <c r="D26">
        <v>51</v>
      </c>
      <c r="E26" s="4">
        <v>27200</v>
      </c>
      <c r="F26" t="s">
        <v>55</v>
      </c>
      <c r="G26" t="s">
        <v>76</v>
      </c>
      <c r="H26" s="2">
        <v>40998</v>
      </c>
      <c r="I26" s="3">
        <v>42744</v>
      </c>
      <c r="J26" t="s">
        <v>20</v>
      </c>
      <c r="K26" t="s">
        <v>71</v>
      </c>
      <c r="L26" t="s">
        <v>22</v>
      </c>
      <c r="M26">
        <v>3</v>
      </c>
      <c r="N26">
        <v>28</v>
      </c>
      <c r="O26">
        <v>1</v>
      </c>
      <c r="P26">
        <v>15</v>
      </c>
    </row>
    <row r="27" spans="1:16" x14ac:dyDescent="0.3">
      <c r="A27" t="s">
        <v>95</v>
      </c>
      <c r="B27" t="s">
        <v>96</v>
      </c>
      <c r="C27" t="s">
        <v>35</v>
      </c>
      <c r="D27">
        <v>40</v>
      </c>
      <c r="E27" s="4">
        <v>31304</v>
      </c>
      <c r="F27" t="s">
        <v>25</v>
      </c>
      <c r="G27" t="s">
        <v>97</v>
      </c>
      <c r="H27" s="2">
        <v>44629</v>
      </c>
      <c r="J27" t="s">
        <v>37</v>
      </c>
      <c r="K27" t="s">
        <v>21</v>
      </c>
      <c r="L27" t="s">
        <v>22</v>
      </c>
      <c r="M27">
        <v>5</v>
      </c>
      <c r="N27">
        <v>9</v>
      </c>
      <c r="O27">
        <v>10</v>
      </c>
      <c r="P27">
        <v>6</v>
      </c>
    </row>
    <row r="28" spans="1:16" x14ac:dyDescent="0.3">
      <c r="A28" t="s">
        <v>98</v>
      </c>
      <c r="B28" t="s">
        <v>99</v>
      </c>
      <c r="C28" t="s">
        <v>17</v>
      </c>
      <c r="D28">
        <v>38</v>
      </c>
      <c r="E28" s="4">
        <v>31842</v>
      </c>
      <c r="F28" t="s">
        <v>41</v>
      </c>
      <c r="G28" t="s">
        <v>42</v>
      </c>
      <c r="H28" s="2">
        <v>44711</v>
      </c>
      <c r="I28" s="3">
        <v>44999</v>
      </c>
      <c r="J28" t="s">
        <v>20</v>
      </c>
      <c r="K28" t="s">
        <v>43</v>
      </c>
      <c r="L28" t="s">
        <v>38</v>
      </c>
      <c r="M28">
        <v>3</v>
      </c>
      <c r="N28">
        <v>6</v>
      </c>
      <c r="O28">
        <v>10</v>
      </c>
      <c r="P28">
        <v>40</v>
      </c>
    </row>
    <row r="29" spans="1:16" x14ac:dyDescent="0.3">
      <c r="A29" t="s">
        <v>100</v>
      </c>
      <c r="B29" t="s">
        <v>101</v>
      </c>
      <c r="C29" t="s">
        <v>35</v>
      </c>
      <c r="D29">
        <v>54</v>
      </c>
      <c r="E29" s="4">
        <v>26106</v>
      </c>
      <c r="F29" t="s">
        <v>30</v>
      </c>
      <c r="G29" t="s">
        <v>31</v>
      </c>
      <c r="H29" s="2">
        <v>40595</v>
      </c>
      <c r="I29" s="3">
        <v>44064</v>
      </c>
      <c r="J29" t="s">
        <v>20</v>
      </c>
      <c r="K29" t="s">
        <v>32</v>
      </c>
      <c r="L29" t="s">
        <v>22</v>
      </c>
      <c r="M29">
        <v>3</v>
      </c>
      <c r="N29">
        <v>24</v>
      </c>
      <c r="O29">
        <v>2</v>
      </c>
      <c r="P29">
        <v>40</v>
      </c>
    </row>
    <row r="30" spans="1:16" x14ac:dyDescent="0.3">
      <c r="A30" t="s">
        <v>102</v>
      </c>
      <c r="B30" t="s">
        <v>103</v>
      </c>
      <c r="C30" t="s">
        <v>35</v>
      </c>
      <c r="D30">
        <v>32</v>
      </c>
      <c r="E30" s="4">
        <v>34051</v>
      </c>
      <c r="F30" t="s">
        <v>30</v>
      </c>
      <c r="G30" t="s">
        <v>36</v>
      </c>
      <c r="H30" s="2">
        <v>43682</v>
      </c>
      <c r="J30" t="s">
        <v>37</v>
      </c>
      <c r="K30" t="s">
        <v>32</v>
      </c>
      <c r="L30" t="s">
        <v>38</v>
      </c>
      <c r="M30">
        <v>2</v>
      </c>
      <c r="N30">
        <v>17</v>
      </c>
      <c r="O30">
        <v>0</v>
      </c>
      <c r="P30">
        <v>23</v>
      </c>
    </row>
    <row r="31" spans="1:16" x14ac:dyDescent="0.3">
      <c r="A31" t="s">
        <v>104</v>
      </c>
      <c r="B31" t="s">
        <v>105</v>
      </c>
      <c r="C31" t="s">
        <v>17</v>
      </c>
      <c r="D31">
        <v>49</v>
      </c>
      <c r="E31" s="4">
        <v>27967</v>
      </c>
      <c r="F31" t="s">
        <v>25</v>
      </c>
      <c r="G31" t="s">
        <v>106</v>
      </c>
      <c r="H31" s="2">
        <v>42704</v>
      </c>
      <c r="J31" t="s">
        <v>37</v>
      </c>
      <c r="K31" t="s">
        <v>71</v>
      </c>
      <c r="L31" t="s">
        <v>22</v>
      </c>
      <c r="M31">
        <v>2</v>
      </c>
      <c r="N31">
        <v>21</v>
      </c>
      <c r="O31">
        <v>1</v>
      </c>
      <c r="P31">
        <v>22</v>
      </c>
    </row>
    <row r="32" spans="1:16" x14ac:dyDescent="0.3">
      <c r="A32" t="s">
        <v>107</v>
      </c>
      <c r="B32" t="s">
        <v>108</v>
      </c>
      <c r="C32" t="s">
        <v>35</v>
      </c>
      <c r="D32">
        <v>31</v>
      </c>
      <c r="E32" s="4">
        <v>34343</v>
      </c>
      <c r="F32" t="s">
        <v>25</v>
      </c>
      <c r="G32" t="s">
        <v>106</v>
      </c>
      <c r="H32" s="2">
        <v>41629</v>
      </c>
      <c r="J32" t="s">
        <v>37</v>
      </c>
      <c r="K32" t="s">
        <v>43</v>
      </c>
      <c r="L32" t="s">
        <v>38</v>
      </c>
      <c r="M32">
        <v>3</v>
      </c>
      <c r="N32">
        <v>25</v>
      </c>
      <c r="O32">
        <v>6</v>
      </c>
      <c r="P32">
        <v>15</v>
      </c>
    </row>
    <row r="33" spans="1:16" x14ac:dyDescent="0.3">
      <c r="A33" t="s">
        <v>109</v>
      </c>
      <c r="B33" t="s">
        <v>110</v>
      </c>
      <c r="C33" t="s">
        <v>35</v>
      </c>
      <c r="D33">
        <v>32</v>
      </c>
      <c r="E33" s="4">
        <v>34012</v>
      </c>
      <c r="F33" t="s">
        <v>41</v>
      </c>
      <c r="G33" t="s">
        <v>111</v>
      </c>
      <c r="H33" s="2">
        <v>40496</v>
      </c>
      <c r="J33" t="s">
        <v>37</v>
      </c>
      <c r="K33" t="s">
        <v>43</v>
      </c>
      <c r="L33" t="s">
        <v>27</v>
      </c>
      <c r="M33">
        <v>3</v>
      </c>
      <c r="N33">
        <v>9</v>
      </c>
      <c r="O33">
        <v>3</v>
      </c>
      <c r="P33">
        <v>14</v>
      </c>
    </row>
    <row r="34" spans="1:16" x14ac:dyDescent="0.3">
      <c r="A34" t="s">
        <v>112</v>
      </c>
      <c r="B34" t="s">
        <v>113</v>
      </c>
      <c r="C34" t="s">
        <v>17</v>
      </c>
      <c r="D34">
        <v>34</v>
      </c>
      <c r="E34" s="4">
        <v>33521</v>
      </c>
      <c r="F34" t="s">
        <v>30</v>
      </c>
      <c r="G34" t="s">
        <v>31</v>
      </c>
      <c r="H34" s="2">
        <v>42461</v>
      </c>
      <c r="J34" t="s">
        <v>37</v>
      </c>
      <c r="K34" t="s">
        <v>71</v>
      </c>
      <c r="L34" t="s">
        <v>38</v>
      </c>
      <c r="M34">
        <v>5</v>
      </c>
      <c r="N34">
        <v>12</v>
      </c>
      <c r="O34">
        <v>10</v>
      </c>
      <c r="P34">
        <v>34</v>
      </c>
    </row>
    <row r="35" spans="1:16" x14ac:dyDescent="0.3">
      <c r="A35" t="s">
        <v>114</v>
      </c>
      <c r="B35" t="s">
        <v>115</v>
      </c>
      <c r="C35" t="s">
        <v>35</v>
      </c>
      <c r="D35">
        <v>23</v>
      </c>
      <c r="E35" s="4">
        <v>37396</v>
      </c>
      <c r="F35" t="s">
        <v>41</v>
      </c>
      <c r="G35" t="s">
        <v>61</v>
      </c>
      <c r="H35" s="2">
        <v>41641</v>
      </c>
      <c r="J35" t="s">
        <v>37</v>
      </c>
      <c r="K35" t="s">
        <v>32</v>
      </c>
      <c r="L35" t="s">
        <v>22</v>
      </c>
      <c r="M35">
        <v>5</v>
      </c>
      <c r="N35">
        <v>13</v>
      </c>
      <c r="O35">
        <v>5</v>
      </c>
      <c r="P35">
        <v>20</v>
      </c>
    </row>
    <row r="36" spans="1:16" x14ac:dyDescent="0.3">
      <c r="A36" t="s">
        <v>116</v>
      </c>
      <c r="B36" t="s">
        <v>117</v>
      </c>
      <c r="C36" t="s">
        <v>35</v>
      </c>
      <c r="D36">
        <v>54</v>
      </c>
      <c r="E36" s="4">
        <v>26293</v>
      </c>
      <c r="F36" t="s">
        <v>41</v>
      </c>
      <c r="G36" t="s">
        <v>111</v>
      </c>
      <c r="H36" s="2">
        <v>44902</v>
      </c>
      <c r="I36" s="3">
        <v>44924</v>
      </c>
      <c r="J36" t="s">
        <v>20</v>
      </c>
      <c r="K36" t="s">
        <v>32</v>
      </c>
      <c r="L36" t="s">
        <v>38</v>
      </c>
      <c r="M36">
        <v>5</v>
      </c>
      <c r="N36">
        <v>21</v>
      </c>
      <c r="O36">
        <v>10</v>
      </c>
      <c r="P36">
        <v>12</v>
      </c>
    </row>
    <row r="37" spans="1:16" x14ac:dyDescent="0.3">
      <c r="A37" t="s">
        <v>118</v>
      </c>
      <c r="B37" t="s">
        <v>119</v>
      </c>
      <c r="C37" t="s">
        <v>35</v>
      </c>
      <c r="D37">
        <v>49</v>
      </c>
      <c r="E37" s="4">
        <v>27893</v>
      </c>
      <c r="F37" t="s">
        <v>41</v>
      </c>
      <c r="G37" t="s">
        <v>61</v>
      </c>
      <c r="H37" s="2">
        <v>45283</v>
      </c>
      <c r="J37" t="s">
        <v>37</v>
      </c>
      <c r="K37" t="s">
        <v>71</v>
      </c>
      <c r="L37" t="s">
        <v>38</v>
      </c>
      <c r="M37">
        <v>3</v>
      </c>
      <c r="N37">
        <v>21</v>
      </c>
      <c r="O37">
        <v>6</v>
      </c>
      <c r="P37">
        <v>20</v>
      </c>
    </row>
    <row r="38" spans="1:16" x14ac:dyDescent="0.3">
      <c r="A38" t="s">
        <v>120</v>
      </c>
      <c r="B38" t="s">
        <v>121</v>
      </c>
      <c r="C38" t="s">
        <v>35</v>
      </c>
      <c r="D38">
        <v>40</v>
      </c>
      <c r="E38" s="4">
        <v>31263</v>
      </c>
      <c r="F38" t="s">
        <v>55</v>
      </c>
      <c r="G38" t="s">
        <v>64</v>
      </c>
      <c r="H38" s="2">
        <v>41750</v>
      </c>
      <c r="J38" t="s">
        <v>37</v>
      </c>
      <c r="K38" t="s">
        <v>43</v>
      </c>
      <c r="L38" t="s">
        <v>38</v>
      </c>
      <c r="M38">
        <v>5</v>
      </c>
      <c r="N38">
        <v>9</v>
      </c>
      <c r="O38">
        <v>6</v>
      </c>
      <c r="P38">
        <v>35</v>
      </c>
    </row>
    <row r="39" spans="1:16" x14ac:dyDescent="0.3">
      <c r="A39" t="s">
        <v>122</v>
      </c>
      <c r="B39" t="s">
        <v>123</v>
      </c>
      <c r="C39" t="s">
        <v>17</v>
      </c>
      <c r="D39">
        <v>41</v>
      </c>
      <c r="E39" s="4">
        <v>30981</v>
      </c>
      <c r="F39" t="s">
        <v>18</v>
      </c>
      <c r="G39" t="s">
        <v>19</v>
      </c>
      <c r="H39" s="2">
        <v>43700</v>
      </c>
      <c r="J39" t="s">
        <v>37</v>
      </c>
      <c r="K39" t="s">
        <v>71</v>
      </c>
      <c r="L39" t="s">
        <v>27</v>
      </c>
      <c r="M39">
        <v>4</v>
      </c>
      <c r="N39">
        <v>14</v>
      </c>
      <c r="O39">
        <v>10</v>
      </c>
      <c r="P39">
        <v>13</v>
      </c>
    </row>
    <row r="40" spans="1:16" x14ac:dyDescent="0.3">
      <c r="A40" t="s">
        <v>124</v>
      </c>
      <c r="B40" t="s">
        <v>125</v>
      </c>
      <c r="C40" t="s">
        <v>35</v>
      </c>
      <c r="D40">
        <v>32</v>
      </c>
      <c r="E40" s="4">
        <v>34305</v>
      </c>
      <c r="F40" t="s">
        <v>41</v>
      </c>
      <c r="G40" t="s">
        <v>61</v>
      </c>
      <c r="H40" s="2">
        <v>44401</v>
      </c>
      <c r="J40" t="s">
        <v>37</v>
      </c>
      <c r="K40" t="s">
        <v>71</v>
      </c>
      <c r="L40" t="s">
        <v>22</v>
      </c>
      <c r="M40">
        <v>2</v>
      </c>
      <c r="N40">
        <v>21</v>
      </c>
      <c r="O40">
        <v>4</v>
      </c>
      <c r="P40">
        <v>14</v>
      </c>
    </row>
    <row r="41" spans="1:16" x14ac:dyDescent="0.3">
      <c r="A41" t="s">
        <v>126</v>
      </c>
      <c r="B41" t="s">
        <v>127</v>
      </c>
      <c r="C41" t="s">
        <v>17</v>
      </c>
      <c r="D41">
        <v>31</v>
      </c>
      <c r="E41" s="4">
        <v>34495</v>
      </c>
      <c r="F41" t="s">
        <v>41</v>
      </c>
      <c r="G41" t="s">
        <v>42</v>
      </c>
      <c r="H41" s="2">
        <v>42184</v>
      </c>
      <c r="J41" t="s">
        <v>37</v>
      </c>
      <c r="K41" t="s">
        <v>32</v>
      </c>
      <c r="L41" t="s">
        <v>27</v>
      </c>
      <c r="M41">
        <v>4</v>
      </c>
      <c r="N41">
        <v>28</v>
      </c>
      <c r="O41">
        <v>10</v>
      </c>
      <c r="P41">
        <v>36</v>
      </c>
    </row>
    <row r="42" spans="1:16" x14ac:dyDescent="0.3">
      <c r="A42" t="s">
        <v>128</v>
      </c>
      <c r="B42" t="s">
        <v>129</v>
      </c>
      <c r="C42" t="s">
        <v>17</v>
      </c>
      <c r="D42">
        <v>46</v>
      </c>
      <c r="E42" s="4">
        <v>29059</v>
      </c>
      <c r="F42" t="s">
        <v>30</v>
      </c>
      <c r="G42" t="s">
        <v>31</v>
      </c>
      <c r="H42" s="2">
        <v>42177</v>
      </c>
      <c r="I42" s="3">
        <v>44993</v>
      </c>
      <c r="J42" t="s">
        <v>20</v>
      </c>
      <c r="K42" t="s">
        <v>32</v>
      </c>
      <c r="L42" t="s">
        <v>27</v>
      </c>
      <c r="M42">
        <v>2</v>
      </c>
      <c r="N42">
        <v>5</v>
      </c>
      <c r="O42">
        <v>8</v>
      </c>
      <c r="P42">
        <v>29</v>
      </c>
    </row>
    <row r="43" spans="1:16" x14ac:dyDescent="0.3">
      <c r="A43" t="s">
        <v>130</v>
      </c>
      <c r="B43" t="s">
        <v>131</v>
      </c>
      <c r="C43" t="s">
        <v>17</v>
      </c>
      <c r="D43">
        <v>37</v>
      </c>
      <c r="E43" s="4">
        <v>32441</v>
      </c>
      <c r="F43" t="s">
        <v>41</v>
      </c>
      <c r="G43" t="s">
        <v>111</v>
      </c>
      <c r="H43" s="2">
        <v>41271</v>
      </c>
      <c r="I43" s="3">
        <v>44994</v>
      </c>
      <c r="J43" t="s">
        <v>20</v>
      </c>
      <c r="K43" t="s">
        <v>21</v>
      </c>
      <c r="L43" t="s">
        <v>38</v>
      </c>
      <c r="M43">
        <v>5</v>
      </c>
      <c r="N43">
        <v>10</v>
      </c>
      <c r="O43">
        <v>7</v>
      </c>
      <c r="P43">
        <v>39</v>
      </c>
    </row>
    <row r="44" spans="1:16" x14ac:dyDescent="0.3">
      <c r="A44" t="s">
        <v>132</v>
      </c>
      <c r="B44" t="s">
        <v>133</v>
      </c>
      <c r="C44" t="s">
        <v>35</v>
      </c>
      <c r="D44">
        <v>50</v>
      </c>
      <c r="E44" s="4">
        <v>27580</v>
      </c>
      <c r="F44" t="s">
        <v>25</v>
      </c>
      <c r="G44" t="s">
        <v>26</v>
      </c>
      <c r="H44" s="2">
        <v>44067</v>
      </c>
      <c r="I44" s="3">
        <v>44995</v>
      </c>
      <c r="J44" t="s">
        <v>20</v>
      </c>
      <c r="K44" t="s">
        <v>71</v>
      </c>
      <c r="L44" t="s">
        <v>38</v>
      </c>
      <c r="M44">
        <v>4</v>
      </c>
      <c r="N44">
        <v>20</v>
      </c>
      <c r="O44">
        <v>3</v>
      </c>
      <c r="P44">
        <v>17</v>
      </c>
    </row>
    <row r="45" spans="1:16" x14ac:dyDescent="0.3">
      <c r="A45" t="s">
        <v>134</v>
      </c>
      <c r="B45" t="s">
        <v>135</v>
      </c>
      <c r="C45" t="s">
        <v>35</v>
      </c>
      <c r="D45">
        <v>26</v>
      </c>
      <c r="E45" s="4">
        <v>36242</v>
      </c>
      <c r="F45" t="s">
        <v>18</v>
      </c>
      <c r="G45" t="s">
        <v>19</v>
      </c>
      <c r="H45" s="2">
        <v>42404</v>
      </c>
      <c r="J45" t="s">
        <v>37</v>
      </c>
      <c r="K45" t="s">
        <v>32</v>
      </c>
      <c r="L45" t="s">
        <v>22</v>
      </c>
      <c r="M45">
        <v>2</v>
      </c>
      <c r="N45">
        <v>7</v>
      </c>
      <c r="O45">
        <v>6</v>
      </c>
      <c r="P45">
        <v>9</v>
      </c>
    </row>
    <row r="46" spans="1:16" x14ac:dyDescent="0.3">
      <c r="A46" t="s">
        <v>136</v>
      </c>
      <c r="B46" t="s">
        <v>137</v>
      </c>
      <c r="C46" t="s">
        <v>17</v>
      </c>
      <c r="D46">
        <v>26</v>
      </c>
      <c r="E46" s="4">
        <v>36173</v>
      </c>
      <c r="F46" t="s">
        <v>30</v>
      </c>
      <c r="G46" t="s">
        <v>31</v>
      </c>
      <c r="H46" s="2">
        <v>42889</v>
      </c>
      <c r="J46" t="s">
        <v>37</v>
      </c>
      <c r="K46" t="s">
        <v>32</v>
      </c>
      <c r="L46" t="s">
        <v>22</v>
      </c>
      <c r="M46">
        <v>4</v>
      </c>
      <c r="N46">
        <v>12</v>
      </c>
      <c r="O46">
        <v>9</v>
      </c>
      <c r="P46">
        <v>1</v>
      </c>
    </row>
    <row r="47" spans="1:16" x14ac:dyDescent="0.3">
      <c r="A47" t="s">
        <v>138</v>
      </c>
      <c r="B47" t="s">
        <v>139</v>
      </c>
      <c r="C47" t="s">
        <v>35</v>
      </c>
      <c r="D47">
        <v>52</v>
      </c>
      <c r="E47" s="4">
        <v>26909</v>
      </c>
      <c r="F47" t="s">
        <v>41</v>
      </c>
      <c r="G47" t="s">
        <v>61</v>
      </c>
      <c r="H47" s="2">
        <v>42625</v>
      </c>
      <c r="J47" t="s">
        <v>37</v>
      </c>
      <c r="K47" t="s">
        <v>21</v>
      </c>
      <c r="L47" t="s">
        <v>38</v>
      </c>
      <c r="M47">
        <v>5</v>
      </c>
      <c r="N47">
        <v>25</v>
      </c>
      <c r="O47">
        <v>9</v>
      </c>
      <c r="P47">
        <v>14</v>
      </c>
    </row>
    <row r="48" spans="1:16" x14ac:dyDescent="0.3">
      <c r="A48" t="s">
        <v>140</v>
      </c>
      <c r="B48" t="s">
        <v>141</v>
      </c>
      <c r="C48" t="s">
        <v>35</v>
      </c>
      <c r="D48">
        <v>36</v>
      </c>
      <c r="E48" s="4">
        <v>32561</v>
      </c>
      <c r="F48" t="s">
        <v>18</v>
      </c>
      <c r="G48" t="s">
        <v>46</v>
      </c>
      <c r="H48" s="2">
        <v>44157</v>
      </c>
      <c r="I48" s="3">
        <v>44845</v>
      </c>
      <c r="J48" t="s">
        <v>20</v>
      </c>
      <c r="K48" t="s">
        <v>52</v>
      </c>
      <c r="L48" t="s">
        <v>38</v>
      </c>
      <c r="M48">
        <v>2</v>
      </c>
      <c r="N48">
        <v>26</v>
      </c>
      <c r="O48">
        <v>7</v>
      </c>
      <c r="P48">
        <v>8</v>
      </c>
    </row>
    <row r="49" spans="1:16" x14ac:dyDescent="0.3">
      <c r="A49" t="s">
        <v>142</v>
      </c>
      <c r="B49" t="s">
        <v>143</v>
      </c>
      <c r="C49" t="s">
        <v>17</v>
      </c>
      <c r="D49">
        <v>47</v>
      </c>
      <c r="E49" s="4">
        <v>28613</v>
      </c>
      <c r="F49" t="s">
        <v>55</v>
      </c>
      <c r="G49" t="s">
        <v>76</v>
      </c>
      <c r="H49" s="2">
        <v>40401</v>
      </c>
      <c r="I49" s="3">
        <v>43912</v>
      </c>
      <c r="J49" t="s">
        <v>20</v>
      </c>
      <c r="K49" t="s">
        <v>52</v>
      </c>
      <c r="L49" t="s">
        <v>22</v>
      </c>
      <c r="M49">
        <v>1</v>
      </c>
      <c r="N49">
        <v>8</v>
      </c>
      <c r="O49">
        <v>6</v>
      </c>
      <c r="P49">
        <v>20</v>
      </c>
    </row>
    <row r="50" spans="1:16" x14ac:dyDescent="0.3">
      <c r="A50" t="s">
        <v>144</v>
      </c>
      <c r="B50" t="s">
        <v>145</v>
      </c>
      <c r="C50" t="s">
        <v>17</v>
      </c>
      <c r="D50">
        <v>51</v>
      </c>
      <c r="E50" s="4">
        <v>27230</v>
      </c>
      <c r="F50" t="s">
        <v>18</v>
      </c>
      <c r="G50" t="s">
        <v>46</v>
      </c>
      <c r="H50" s="2">
        <v>43284</v>
      </c>
      <c r="J50" t="s">
        <v>37</v>
      </c>
      <c r="K50" t="s">
        <v>71</v>
      </c>
      <c r="L50" t="s">
        <v>22</v>
      </c>
      <c r="M50">
        <v>4</v>
      </c>
      <c r="N50">
        <v>0</v>
      </c>
      <c r="O50">
        <v>8</v>
      </c>
      <c r="P50">
        <v>3</v>
      </c>
    </row>
    <row r="51" spans="1:16" x14ac:dyDescent="0.3">
      <c r="A51" t="s">
        <v>146</v>
      </c>
      <c r="B51" t="s">
        <v>147</v>
      </c>
      <c r="C51" t="s">
        <v>35</v>
      </c>
      <c r="D51">
        <v>36</v>
      </c>
      <c r="E51" s="4">
        <v>32814</v>
      </c>
      <c r="F51" t="s">
        <v>41</v>
      </c>
      <c r="G51" t="s">
        <v>42</v>
      </c>
      <c r="H51" s="2">
        <v>40433</v>
      </c>
      <c r="J51" t="s">
        <v>37</v>
      </c>
      <c r="K51" t="s">
        <v>32</v>
      </c>
      <c r="L51" t="s">
        <v>38</v>
      </c>
      <c r="M51">
        <v>2</v>
      </c>
      <c r="N51">
        <v>7</v>
      </c>
      <c r="O51">
        <v>2</v>
      </c>
      <c r="P51">
        <v>30</v>
      </c>
    </row>
    <row r="52" spans="1:16" x14ac:dyDescent="0.3">
      <c r="A52" t="s">
        <v>148</v>
      </c>
      <c r="B52" t="s">
        <v>149</v>
      </c>
      <c r="C52" t="s">
        <v>17</v>
      </c>
      <c r="D52">
        <v>35</v>
      </c>
      <c r="E52" s="4">
        <v>33090</v>
      </c>
      <c r="F52" t="s">
        <v>30</v>
      </c>
      <c r="G52" t="s">
        <v>36</v>
      </c>
      <c r="H52" s="2">
        <v>42278</v>
      </c>
      <c r="J52" t="s">
        <v>37</v>
      </c>
      <c r="K52" t="s">
        <v>21</v>
      </c>
      <c r="L52" t="s">
        <v>38</v>
      </c>
      <c r="M52">
        <v>5</v>
      </c>
      <c r="N52">
        <v>24</v>
      </c>
      <c r="O52">
        <v>2</v>
      </c>
      <c r="P52">
        <v>19</v>
      </c>
    </row>
    <row r="53" spans="1:16" x14ac:dyDescent="0.3">
      <c r="A53" t="s">
        <v>150</v>
      </c>
      <c r="B53" t="s">
        <v>151</v>
      </c>
      <c r="C53" t="s">
        <v>17</v>
      </c>
      <c r="D53">
        <v>23</v>
      </c>
      <c r="E53" s="4">
        <v>37438</v>
      </c>
      <c r="F53" t="s">
        <v>18</v>
      </c>
      <c r="G53" t="s">
        <v>49</v>
      </c>
      <c r="H53" s="2">
        <v>43253</v>
      </c>
      <c r="J53" t="s">
        <v>37</v>
      </c>
      <c r="K53" t="s">
        <v>32</v>
      </c>
      <c r="L53" t="s">
        <v>38</v>
      </c>
      <c r="M53">
        <v>2</v>
      </c>
      <c r="N53">
        <v>3</v>
      </c>
      <c r="O53">
        <v>4</v>
      </c>
      <c r="P53">
        <v>38</v>
      </c>
    </row>
    <row r="54" spans="1:16" x14ac:dyDescent="0.3">
      <c r="A54" t="s">
        <v>152</v>
      </c>
      <c r="B54" t="s">
        <v>153</v>
      </c>
      <c r="C54" t="s">
        <v>17</v>
      </c>
      <c r="D54">
        <v>24</v>
      </c>
      <c r="E54" s="4">
        <v>37160</v>
      </c>
      <c r="F54" t="s">
        <v>18</v>
      </c>
      <c r="G54" t="s">
        <v>49</v>
      </c>
      <c r="H54" s="2">
        <v>43688</v>
      </c>
      <c r="J54" t="s">
        <v>37</v>
      </c>
      <c r="K54" t="s">
        <v>21</v>
      </c>
      <c r="L54" t="s">
        <v>38</v>
      </c>
      <c r="M54">
        <v>3</v>
      </c>
      <c r="N54">
        <v>0</v>
      </c>
      <c r="O54">
        <v>6</v>
      </c>
      <c r="P54">
        <v>31</v>
      </c>
    </row>
    <row r="55" spans="1:16" x14ac:dyDescent="0.3">
      <c r="A55" t="s">
        <v>154</v>
      </c>
      <c r="B55" t="s">
        <v>155</v>
      </c>
      <c r="C55" t="s">
        <v>17</v>
      </c>
      <c r="D55">
        <v>49</v>
      </c>
      <c r="E55" s="4">
        <v>27949</v>
      </c>
      <c r="F55" t="s">
        <v>18</v>
      </c>
      <c r="G55" t="s">
        <v>49</v>
      </c>
      <c r="H55" s="2">
        <v>43945</v>
      </c>
      <c r="J55" t="s">
        <v>37</v>
      </c>
      <c r="K55" t="s">
        <v>43</v>
      </c>
      <c r="L55" t="s">
        <v>38</v>
      </c>
      <c r="M55">
        <v>5</v>
      </c>
      <c r="N55">
        <v>30</v>
      </c>
      <c r="O55">
        <v>10</v>
      </c>
      <c r="P55">
        <v>17</v>
      </c>
    </row>
    <row r="56" spans="1:16" x14ac:dyDescent="0.3">
      <c r="A56" t="s">
        <v>156</v>
      </c>
      <c r="B56" t="s">
        <v>157</v>
      </c>
      <c r="C56" t="s">
        <v>35</v>
      </c>
      <c r="D56">
        <v>51</v>
      </c>
      <c r="E56" s="4">
        <v>27261</v>
      </c>
      <c r="F56" t="s">
        <v>30</v>
      </c>
      <c r="G56" t="s">
        <v>36</v>
      </c>
      <c r="H56" s="2">
        <v>45032</v>
      </c>
      <c r="J56" t="s">
        <v>37</v>
      </c>
      <c r="K56" t="s">
        <v>32</v>
      </c>
      <c r="L56" t="s">
        <v>27</v>
      </c>
      <c r="M56">
        <v>4</v>
      </c>
      <c r="N56">
        <v>7</v>
      </c>
      <c r="O56">
        <v>7</v>
      </c>
      <c r="P56">
        <v>36</v>
      </c>
    </row>
    <row r="57" spans="1:16" x14ac:dyDescent="0.3">
      <c r="A57" t="s">
        <v>158</v>
      </c>
      <c r="B57" t="s">
        <v>159</v>
      </c>
      <c r="C57" t="s">
        <v>35</v>
      </c>
      <c r="D57">
        <v>43</v>
      </c>
      <c r="E57" s="4">
        <v>30274</v>
      </c>
      <c r="F57" t="s">
        <v>41</v>
      </c>
      <c r="G57" t="s">
        <v>111</v>
      </c>
      <c r="H57" s="2">
        <v>42841</v>
      </c>
      <c r="I57" s="3">
        <v>43709</v>
      </c>
      <c r="J57" t="s">
        <v>20</v>
      </c>
      <c r="K57" t="s">
        <v>71</v>
      </c>
      <c r="L57" t="s">
        <v>27</v>
      </c>
      <c r="M57">
        <v>3</v>
      </c>
      <c r="N57">
        <v>28</v>
      </c>
      <c r="O57">
        <v>9</v>
      </c>
      <c r="P57">
        <v>17</v>
      </c>
    </row>
    <row r="58" spans="1:16" x14ac:dyDescent="0.3">
      <c r="A58" t="s">
        <v>160</v>
      </c>
      <c r="B58" t="s">
        <v>161</v>
      </c>
      <c r="C58" t="s">
        <v>17</v>
      </c>
      <c r="D58">
        <v>55</v>
      </c>
      <c r="E58" s="4">
        <v>25788</v>
      </c>
      <c r="F58" t="s">
        <v>25</v>
      </c>
      <c r="G58" t="s">
        <v>106</v>
      </c>
      <c r="H58" s="2">
        <v>42156</v>
      </c>
      <c r="J58" t="s">
        <v>37</v>
      </c>
      <c r="K58" t="s">
        <v>21</v>
      </c>
      <c r="L58" t="s">
        <v>22</v>
      </c>
      <c r="M58">
        <v>4</v>
      </c>
      <c r="N58">
        <v>20</v>
      </c>
      <c r="O58">
        <v>7</v>
      </c>
      <c r="P58">
        <v>28</v>
      </c>
    </row>
    <row r="59" spans="1:16" x14ac:dyDescent="0.3">
      <c r="A59" t="s">
        <v>162</v>
      </c>
      <c r="B59" t="s">
        <v>163</v>
      </c>
      <c r="C59" t="s">
        <v>17</v>
      </c>
      <c r="D59">
        <v>27</v>
      </c>
      <c r="E59" s="4">
        <v>35892</v>
      </c>
      <c r="F59" t="s">
        <v>18</v>
      </c>
      <c r="G59" t="s">
        <v>19</v>
      </c>
      <c r="H59" s="2">
        <v>43491</v>
      </c>
      <c r="J59" t="s">
        <v>37</v>
      </c>
      <c r="K59" t="s">
        <v>21</v>
      </c>
      <c r="L59" t="s">
        <v>27</v>
      </c>
      <c r="M59">
        <v>4</v>
      </c>
      <c r="N59">
        <v>17</v>
      </c>
      <c r="O59">
        <v>8</v>
      </c>
      <c r="P59">
        <v>22</v>
      </c>
    </row>
    <row r="60" spans="1:16" x14ac:dyDescent="0.3">
      <c r="A60" t="s">
        <v>164</v>
      </c>
      <c r="B60" t="s">
        <v>165</v>
      </c>
      <c r="C60" t="s">
        <v>35</v>
      </c>
      <c r="D60">
        <v>43</v>
      </c>
      <c r="E60" s="4">
        <v>30106</v>
      </c>
      <c r="F60" t="s">
        <v>18</v>
      </c>
      <c r="G60" t="s">
        <v>49</v>
      </c>
      <c r="H60" s="2">
        <v>43896</v>
      </c>
      <c r="J60" t="s">
        <v>37</v>
      </c>
      <c r="K60" t="s">
        <v>43</v>
      </c>
      <c r="L60" t="s">
        <v>22</v>
      </c>
      <c r="M60">
        <v>2</v>
      </c>
      <c r="N60">
        <v>10</v>
      </c>
      <c r="O60">
        <v>1</v>
      </c>
      <c r="P60">
        <v>34</v>
      </c>
    </row>
    <row r="61" spans="1:16" x14ac:dyDescent="0.3">
      <c r="A61" t="s">
        <v>166</v>
      </c>
      <c r="B61" t="s">
        <v>167</v>
      </c>
      <c r="C61" t="s">
        <v>17</v>
      </c>
      <c r="D61">
        <v>34</v>
      </c>
      <c r="E61" s="4">
        <v>33446</v>
      </c>
      <c r="F61" t="s">
        <v>25</v>
      </c>
      <c r="G61" t="s">
        <v>26</v>
      </c>
      <c r="H61" s="2">
        <v>44145</v>
      </c>
      <c r="J61" t="s">
        <v>37</v>
      </c>
      <c r="K61" t="s">
        <v>21</v>
      </c>
      <c r="L61" t="s">
        <v>38</v>
      </c>
      <c r="M61">
        <v>3</v>
      </c>
      <c r="N61">
        <v>3</v>
      </c>
      <c r="O61">
        <v>3</v>
      </c>
      <c r="P61">
        <v>18</v>
      </c>
    </row>
    <row r="62" spans="1:16" x14ac:dyDescent="0.3">
      <c r="A62" t="s">
        <v>168</v>
      </c>
      <c r="B62" t="s">
        <v>169</v>
      </c>
      <c r="C62" t="s">
        <v>17</v>
      </c>
      <c r="D62">
        <v>45</v>
      </c>
      <c r="E62" s="4">
        <v>29319</v>
      </c>
      <c r="F62" t="s">
        <v>25</v>
      </c>
      <c r="G62" t="s">
        <v>97</v>
      </c>
      <c r="H62" s="2">
        <v>40294</v>
      </c>
      <c r="J62" t="s">
        <v>37</v>
      </c>
      <c r="K62" t="s">
        <v>71</v>
      </c>
      <c r="L62" t="s">
        <v>22</v>
      </c>
      <c r="M62">
        <v>1</v>
      </c>
      <c r="N62">
        <v>17</v>
      </c>
      <c r="O62">
        <v>4</v>
      </c>
      <c r="P62">
        <v>8</v>
      </c>
    </row>
    <row r="63" spans="1:16" x14ac:dyDescent="0.3">
      <c r="A63" t="s">
        <v>170</v>
      </c>
      <c r="B63" t="s">
        <v>171</v>
      </c>
      <c r="C63" t="s">
        <v>35</v>
      </c>
      <c r="D63">
        <v>28</v>
      </c>
      <c r="E63" s="4">
        <v>35606</v>
      </c>
      <c r="F63" t="s">
        <v>41</v>
      </c>
      <c r="G63" t="s">
        <v>61</v>
      </c>
      <c r="H63" s="2">
        <v>44024</v>
      </c>
      <c r="J63" t="s">
        <v>37</v>
      </c>
      <c r="K63" t="s">
        <v>43</v>
      </c>
      <c r="L63" t="s">
        <v>22</v>
      </c>
      <c r="M63">
        <v>3</v>
      </c>
      <c r="N63">
        <v>30</v>
      </c>
      <c r="O63">
        <v>7</v>
      </c>
      <c r="P63">
        <v>7</v>
      </c>
    </row>
    <row r="64" spans="1:16" x14ac:dyDescent="0.3">
      <c r="A64" t="s">
        <v>172</v>
      </c>
      <c r="B64" t="s">
        <v>173</v>
      </c>
      <c r="C64" t="s">
        <v>17</v>
      </c>
      <c r="D64">
        <v>47</v>
      </c>
      <c r="E64" s="4">
        <v>28725</v>
      </c>
      <c r="F64" t="s">
        <v>30</v>
      </c>
      <c r="G64" t="s">
        <v>90</v>
      </c>
      <c r="H64" s="2">
        <v>44905</v>
      </c>
      <c r="J64" t="s">
        <v>37</v>
      </c>
      <c r="K64" t="s">
        <v>43</v>
      </c>
      <c r="L64" t="s">
        <v>22</v>
      </c>
      <c r="M64">
        <v>5</v>
      </c>
      <c r="N64">
        <v>30</v>
      </c>
      <c r="O64">
        <v>4</v>
      </c>
      <c r="P64">
        <v>5</v>
      </c>
    </row>
    <row r="65" spans="1:16" x14ac:dyDescent="0.3">
      <c r="A65" t="s">
        <v>174</v>
      </c>
      <c r="B65" t="s">
        <v>175</v>
      </c>
      <c r="C65" t="s">
        <v>17</v>
      </c>
      <c r="D65">
        <v>29</v>
      </c>
      <c r="E65" s="4">
        <v>35393</v>
      </c>
      <c r="F65" t="s">
        <v>55</v>
      </c>
      <c r="G65" t="s">
        <v>56</v>
      </c>
      <c r="H65" s="2">
        <v>45145</v>
      </c>
      <c r="J65" t="s">
        <v>37</v>
      </c>
      <c r="K65" t="s">
        <v>43</v>
      </c>
      <c r="L65" t="s">
        <v>38</v>
      </c>
      <c r="M65">
        <v>4</v>
      </c>
      <c r="N65">
        <v>14</v>
      </c>
      <c r="O65">
        <v>7</v>
      </c>
      <c r="P65">
        <v>19</v>
      </c>
    </row>
    <row r="66" spans="1:16" x14ac:dyDescent="0.3">
      <c r="A66" t="s">
        <v>176</v>
      </c>
      <c r="B66" t="s">
        <v>177</v>
      </c>
      <c r="C66" t="s">
        <v>35</v>
      </c>
      <c r="D66">
        <v>41</v>
      </c>
      <c r="E66" s="4">
        <v>30899</v>
      </c>
      <c r="F66" t="s">
        <v>55</v>
      </c>
      <c r="G66" t="s">
        <v>76</v>
      </c>
      <c r="H66" s="2">
        <v>40672</v>
      </c>
      <c r="J66" t="s">
        <v>37</v>
      </c>
      <c r="K66" t="s">
        <v>43</v>
      </c>
      <c r="L66" t="s">
        <v>38</v>
      </c>
      <c r="M66">
        <v>2</v>
      </c>
      <c r="N66">
        <v>8</v>
      </c>
      <c r="O66">
        <v>10</v>
      </c>
      <c r="P66">
        <v>5</v>
      </c>
    </row>
    <row r="67" spans="1:16" x14ac:dyDescent="0.3">
      <c r="A67" t="s">
        <v>178</v>
      </c>
      <c r="B67" t="s">
        <v>179</v>
      </c>
      <c r="C67" t="s">
        <v>17</v>
      </c>
      <c r="D67">
        <v>37</v>
      </c>
      <c r="E67" s="4">
        <v>32347</v>
      </c>
      <c r="F67" t="s">
        <v>25</v>
      </c>
      <c r="G67" t="s">
        <v>26</v>
      </c>
      <c r="H67" s="2">
        <v>40793</v>
      </c>
      <c r="I67" s="3">
        <v>44139</v>
      </c>
      <c r="J67" t="s">
        <v>20</v>
      </c>
      <c r="K67" t="s">
        <v>21</v>
      </c>
      <c r="L67" t="s">
        <v>27</v>
      </c>
      <c r="M67">
        <v>3</v>
      </c>
      <c r="N67">
        <v>1</v>
      </c>
      <c r="O67">
        <v>3</v>
      </c>
      <c r="P67">
        <v>18</v>
      </c>
    </row>
    <row r="68" spans="1:16" x14ac:dyDescent="0.3">
      <c r="A68" t="s">
        <v>180</v>
      </c>
      <c r="B68" t="s">
        <v>181</v>
      </c>
      <c r="C68" t="s">
        <v>35</v>
      </c>
      <c r="D68">
        <v>51</v>
      </c>
      <c r="E68" s="4">
        <v>27140</v>
      </c>
      <c r="F68" t="s">
        <v>41</v>
      </c>
      <c r="G68" t="s">
        <v>83</v>
      </c>
      <c r="H68" s="2">
        <v>42346</v>
      </c>
      <c r="J68" t="s">
        <v>37</v>
      </c>
      <c r="K68" t="s">
        <v>21</v>
      </c>
      <c r="L68" t="s">
        <v>38</v>
      </c>
      <c r="M68">
        <v>2</v>
      </c>
      <c r="N68">
        <v>13</v>
      </c>
      <c r="O68">
        <v>1</v>
      </c>
      <c r="P68">
        <v>34</v>
      </c>
    </row>
    <row r="69" spans="1:16" x14ac:dyDescent="0.3">
      <c r="A69" t="s">
        <v>182</v>
      </c>
      <c r="B69" t="s">
        <v>183</v>
      </c>
      <c r="C69" t="s">
        <v>17</v>
      </c>
      <c r="D69">
        <v>31</v>
      </c>
      <c r="E69" s="4">
        <v>34452</v>
      </c>
      <c r="F69" t="s">
        <v>18</v>
      </c>
      <c r="G69" t="s">
        <v>19</v>
      </c>
      <c r="H69" s="2">
        <v>40763</v>
      </c>
      <c r="I69" s="3">
        <v>43282</v>
      </c>
      <c r="J69" t="s">
        <v>20</v>
      </c>
      <c r="K69" t="s">
        <v>21</v>
      </c>
      <c r="L69" t="s">
        <v>27</v>
      </c>
      <c r="M69">
        <v>4</v>
      </c>
      <c r="N69">
        <v>3</v>
      </c>
      <c r="O69">
        <v>7</v>
      </c>
      <c r="P69">
        <v>19</v>
      </c>
    </row>
    <row r="70" spans="1:16" x14ac:dyDescent="0.3">
      <c r="A70" t="s">
        <v>184</v>
      </c>
      <c r="B70" t="s">
        <v>185</v>
      </c>
      <c r="C70" t="s">
        <v>35</v>
      </c>
      <c r="D70">
        <v>39</v>
      </c>
      <c r="E70" s="4">
        <v>31609</v>
      </c>
      <c r="F70" t="s">
        <v>55</v>
      </c>
      <c r="G70" t="s">
        <v>76</v>
      </c>
      <c r="H70" s="2">
        <v>44224</v>
      </c>
      <c r="J70" t="s">
        <v>37</v>
      </c>
      <c r="K70" t="s">
        <v>32</v>
      </c>
      <c r="L70" t="s">
        <v>27</v>
      </c>
      <c r="M70">
        <v>3</v>
      </c>
      <c r="N70">
        <v>19</v>
      </c>
      <c r="O70">
        <v>4</v>
      </c>
      <c r="P70">
        <v>1</v>
      </c>
    </row>
    <row r="71" spans="1:16" x14ac:dyDescent="0.3">
      <c r="A71" t="s">
        <v>186</v>
      </c>
      <c r="B71" t="s">
        <v>187</v>
      </c>
      <c r="C71" t="s">
        <v>17</v>
      </c>
      <c r="D71">
        <v>36</v>
      </c>
      <c r="E71" s="4">
        <v>32636</v>
      </c>
      <c r="F71" t="s">
        <v>55</v>
      </c>
      <c r="G71" t="s">
        <v>76</v>
      </c>
      <c r="H71" s="2">
        <v>40348</v>
      </c>
      <c r="J71" t="s">
        <v>37</v>
      </c>
      <c r="K71" t="s">
        <v>71</v>
      </c>
      <c r="L71" t="s">
        <v>38</v>
      </c>
      <c r="M71">
        <v>5</v>
      </c>
      <c r="N71">
        <v>24</v>
      </c>
      <c r="O71">
        <v>2</v>
      </c>
      <c r="P71">
        <v>30</v>
      </c>
    </row>
    <row r="72" spans="1:16" x14ac:dyDescent="0.3">
      <c r="A72" t="s">
        <v>188</v>
      </c>
      <c r="B72" t="s">
        <v>189</v>
      </c>
      <c r="C72" t="s">
        <v>35</v>
      </c>
      <c r="D72">
        <v>39</v>
      </c>
      <c r="E72" s="4">
        <v>31688</v>
      </c>
      <c r="F72" t="s">
        <v>25</v>
      </c>
      <c r="G72" t="s">
        <v>26</v>
      </c>
      <c r="H72" s="2">
        <v>43749</v>
      </c>
      <c r="J72" t="s">
        <v>37</v>
      </c>
      <c r="K72" t="s">
        <v>32</v>
      </c>
      <c r="L72" t="s">
        <v>27</v>
      </c>
      <c r="M72">
        <v>3</v>
      </c>
      <c r="N72">
        <v>13</v>
      </c>
      <c r="O72">
        <v>5</v>
      </c>
      <c r="P72">
        <v>20</v>
      </c>
    </row>
    <row r="73" spans="1:16" x14ac:dyDescent="0.3">
      <c r="A73" t="s">
        <v>190</v>
      </c>
      <c r="B73" t="s">
        <v>191</v>
      </c>
      <c r="C73" t="s">
        <v>17</v>
      </c>
      <c r="D73">
        <v>32</v>
      </c>
      <c r="E73" s="4">
        <v>34164</v>
      </c>
      <c r="F73" t="s">
        <v>18</v>
      </c>
      <c r="G73" t="s">
        <v>46</v>
      </c>
      <c r="H73" s="2">
        <v>44237</v>
      </c>
      <c r="J73" t="s">
        <v>37</v>
      </c>
      <c r="K73" t="s">
        <v>21</v>
      </c>
      <c r="L73" t="s">
        <v>22</v>
      </c>
      <c r="M73">
        <v>4</v>
      </c>
      <c r="N73">
        <v>2</v>
      </c>
      <c r="O73">
        <v>5</v>
      </c>
      <c r="P73">
        <v>16</v>
      </c>
    </row>
    <row r="74" spans="1:16" x14ac:dyDescent="0.3">
      <c r="A74" t="s">
        <v>192</v>
      </c>
      <c r="B74" t="s">
        <v>193</v>
      </c>
      <c r="C74" t="s">
        <v>35</v>
      </c>
      <c r="D74">
        <v>29</v>
      </c>
      <c r="E74" s="4">
        <v>35363</v>
      </c>
      <c r="F74" t="s">
        <v>30</v>
      </c>
      <c r="G74" t="s">
        <v>36</v>
      </c>
      <c r="H74" s="2">
        <v>40188</v>
      </c>
      <c r="J74" t="s">
        <v>37</v>
      </c>
      <c r="K74" t="s">
        <v>52</v>
      </c>
      <c r="L74" t="s">
        <v>27</v>
      </c>
      <c r="M74">
        <v>1</v>
      </c>
      <c r="N74">
        <v>6</v>
      </c>
      <c r="O74">
        <v>8</v>
      </c>
      <c r="P74">
        <v>23</v>
      </c>
    </row>
    <row r="75" spans="1:16" x14ac:dyDescent="0.3">
      <c r="A75" t="s">
        <v>194</v>
      </c>
      <c r="B75" t="s">
        <v>195</v>
      </c>
      <c r="C75" t="s">
        <v>35</v>
      </c>
      <c r="D75">
        <v>50</v>
      </c>
      <c r="E75" s="4">
        <v>27515</v>
      </c>
      <c r="F75" t="s">
        <v>41</v>
      </c>
      <c r="G75" t="s">
        <v>83</v>
      </c>
      <c r="H75" s="2">
        <v>42366</v>
      </c>
      <c r="J75" t="s">
        <v>37</v>
      </c>
      <c r="K75" t="s">
        <v>52</v>
      </c>
      <c r="L75" t="s">
        <v>38</v>
      </c>
      <c r="M75">
        <v>4</v>
      </c>
      <c r="N75">
        <v>3</v>
      </c>
      <c r="O75">
        <v>0</v>
      </c>
      <c r="P75">
        <v>40</v>
      </c>
    </row>
    <row r="76" spans="1:16" x14ac:dyDescent="0.3">
      <c r="A76" t="s">
        <v>196</v>
      </c>
      <c r="B76" t="s">
        <v>197</v>
      </c>
      <c r="C76" t="s">
        <v>17</v>
      </c>
      <c r="D76">
        <v>32</v>
      </c>
      <c r="E76" s="4">
        <v>34238</v>
      </c>
      <c r="F76" t="s">
        <v>18</v>
      </c>
      <c r="G76" t="s">
        <v>49</v>
      </c>
      <c r="H76" s="2">
        <v>40291</v>
      </c>
      <c r="J76" t="s">
        <v>37</v>
      </c>
      <c r="K76" t="s">
        <v>43</v>
      </c>
      <c r="L76" t="s">
        <v>22</v>
      </c>
      <c r="M76">
        <v>4</v>
      </c>
      <c r="N76">
        <v>30</v>
      </c>
      <c r="O76">
        <v>1</v>
      </c>
      <c r="P76">
        <v>9</v>
      </c>
    </row>
    <row r="77" spans="1:16" x14ac:dyDescent="0.3">
      <c r="A77" t="s">
        <v>198</v>
      </c>
      <c r="B77" t="s">
        <v>199</v>
      </c>
      <c r="C77" t="s">
        <v>35</v>
      </c>
      <c r="D77">
        <v>40</v>
      </c>
      <c r="E77" s="4">
        <v>31261</v>
      </c>
      <c r="F77" t="s">
        <v>55</v>
      </c>
      <c r="G77" t="s">
        <v>76</v>
      </c>
      <c r="H77" s="2">
        <v>42418</v>
      </c>
      <c r="J77" t="s">
        <v>37</v>
      </c>
      <c r="K77" t="s">
        <v>52</v>
      </c>
      <c r="L77" t="s">
        <v>22</v>
      </c>
      <c r="M77">
        <v>4</v>
      </c>
      <c r="N77">
        <v>17</v>
      </c>
      <c r="O77">
        <v>2</v>
      </c>
      <c r="P77">
        <v>24</v>
      </c>
    </row>
    <row r="78" spans="1:16" x14ac:dyDescent="0.3">
      <c r="A78" t="s">
        <v>200</v>
      </c>
      <c r="B78" t="s">
        <v>201</v>
      </c>
      <c r="C78" t="s">
        <v>17</v>
      </c>
      <c r="D78">
        <v>54</v>
      </c>
      <c r="E78" s="4">
        <v>26108</v>
      </c>
      <c r="F78" t="s">
        <v>25</v>
      </c>
      <c r="G78" t="s">
        <v>106</v>
      </c>
      <c r="H78" s="2">
        <v>42442</v>
      </c>
      <c r="J78" t="s">
        <v>37</v>
      </c>
      <c r="K78" t="s">
        <v>71</v>
      </c>
      <c r="L78" t="s">
        <v>38</v>
      </c>
      <c r="M78">
        <v>3</v>
      </c>
      <c r="N78">
        <v>26</v>
      </c>
      <c r="O78">
        <v>0</v>
      </c>
      <c r="P78">
        <v>18</v>
      </c>
    </row>
    <row r="79" spans="1:16" x14ac:dyDescent="0.3">
      <c r="A79" t="s">
        <v>202</v>
      </c>
      <c r="B79" t="s">
        <v>203</v>
      </c>
      <c r="C79" t="s">
        <v>35</v>
      </c>
      <c r="D79">
        <v>53</v>
      </c>
      <c r="E79" s="4">
        <v>26320</v>
      </c>
      <c r="F79" t="s">
        <v>25</v>
      </c>
      <c r="G79" t="s">
        <v>97</v>
      </c>
      <c r="H79" s="2">
        <v>44591</v>
      </c>
      <c r="J79" t="s">
        <v>37</v>
      </c>
      <c r="K79" t="s">
        <v>21</v>
      </c>
      <c r="L79" t="s">
        <v>38</v>
      </c>
      <c r="M79">
        <v>4</v>
      </c>
      <c r="N79">
        <v>14</v>
      </c>
      <c r="O79">
        <v>5</v>
      </c>
      <c r="P79">
        <v>12</v>
      </c>
    </row>
    <row r="80" spans="1:16" x14ac:dyDescent="0.3">
      <c r="A80" t="s">
        <v>204</v>
      </c>
      <c r="B80" t="s">
        <v>205</v>
      </c>
      <c r="C80" t="s">
        <v>17</v>
      </c>
      <c r="D80">
        <v>46</v>
      </c>
      <c r="E80" s="4">
        <v>29049</v>
      </c>
      <c r="F80" t="s">
        <v>25</v>
      </c>
      <c r="G80" t="s">
        <v>97</v>
      </c>
      <c r="H80" s="2">
        <v>40536</v>
      </c>
      <c r="J80" t="s">
        <v>37</v>
      </c>
      <c r="K80" t="s">
        <v>52</v>
      </c>
      <c r="L80" t="s">
        <v>27</v>
      </c>
      <c r="M80">
        <v>2</v>
      </c>
      <c r="N80">
        <v>15</v>
      </c>
      <c r="O80">
        <v>0</v>
      </c>
      <c r="P80">
        <v>8</v>
      </c>
    </row>
    <row r="81" spans="1:16" x14ac:dyDescent="0.3">
      <c r="A81" t="s">
        <v>206</v>
      </c>
      <c r="B81" t="s">
        <v>207</v>
      </c>
      <c r="C81" t="s">
        <v>35</v>
      </c>
      <c r="D81">
        <v>28</v>
      </c>
      <c r="E81" s="4">
        <v>35624</v>
      </c>
      <c r="F81" t="s">
        <v>30</v>
      </c>
      <c r="G81" t="s">
        <v>90</v>
      </c>
      <c r="H81" s="2">
        <v>44487</v>
      </c>
      <c r="J81" t="s">
        <v>37</v>
      </c>
      <c r="K81" t="s">
        <v>43</v>
      </c>
      <c r="L81" t="s">
        <v>27</v>
      </c>
      <c r="M81">
        <v>2</v>
      </c>
      <c r="N81">
        <v>2</v>
      </c>
      <c r="O81">
        <v>7</v>
      </c>
      <c r="P81">
        <v>16</v>
      </c>
    </row>
    <row r="82" spans="1:16" x14ac:dyDescent="0.3">
      <c r="A82" t="s">
        <v>208</v>
      </c>
      <c r="B82" t="s">
        <v>209</v>
      </c>
      <c r="C82" t="s">
        <v>35</v>
      </c>
      <c r="D82">
        <v>47</v>
      </c>
      <c r="E82" s="4">
        <v>28831</v>
      </c>
      <c r="F82" t="s">
        <v>41</v>
      </c>
      <c r="G82" t="s">
        <v>61</v>
      </c>
      <c r="H82" s="2">
        <v>44550</v>
      </c>
      <c r="J82" t="s">
        <v>37</v>
      </c>
      <c r="K82" t="s">
        <v>52</v>
      </c>
      <c r="L82" t="s">
        <v>38</v>
      </c>
      <c r="M82">
        <v>1</v>
      </c>
      <c r="N82">
        <v>19</v>
      </c>
      <c r="O82">
        <v>1</v>
      </c>
      <c r="P82">
        <v>15</v>
      </c>
    </row>
    <row r="83" spans="1:16" x14ac:dyDescent="0.3">
      <c r="A83" t="s">
        <v>210</v>
      </c>
      <c r="B83" t="s">
        <v>211</v>
      </c>
      <c r="C83" t="s">
        <v>35</v>
      </c>
      <c r="D83">
        <v>36</v>
      </c>
      <c r="E83" s="4">
        <v>32518</v>
      </c>
      <c r="F83" t="s">
        <v>41</v>
      </c>
      <c r="G83" t="s">
        <v>111</v>
      </c>
      <c r="H83" s="2">
        <v>40985</v>
      </c>
      <c r="J83" t="s">
        <v>37</v>
      </c>
      <c r="K83" t="s">
        <v>52</v>
      </c>
      <c r="L83" t="s">
        <v>22</v>
      </c>
      <c r="M83">
        <v>3</v>
      </c>
      <c r="N83">
        <v>28</v>
      </c>
      <c r="O83">
        <v>0</v>
      </c>
      <c r="P83">
        <v>2</v>
      </c>
    </row>
    <row r="84" spans="1:16" x14ac:dyDescent="0.3">
      <c r="A84" t="s">
        <v>212</v>
      </c>
      <c r="B84" t="s">
        <v>213</v>
      </c>
      <c r="C84" t="s">
        <v>35</v>
      </c>
      <c r="D84">
        <v>25</v>
      </c>
      <c r="E84" s="4">
        <v>36551</v>
      </c>
      <c r="F84" t="s">
        <v>18</v>
      </c>
      <c r="G84" t="s">
        <v>46</v>
      </c>
      <c r="H84" s="2">
        <v>43249</v>
      </c>
      <c r="J84" t="s">
        <v>37</v>
      </c>
      <c r="K84" t="s">
        <v>21</v>
      </c>
      <c r="L84" t="s">
        <v>27</v>
      </c>
      <c r="M84">
        <v>5</v>
      </c>
      <c r="N84">
        <v>21</v>
      </c>
      <c r="O84">
        <v>2</v>
      </c>
      <c r="P84">
        <v>10</v>
      </c>
    </row>
    <row r="85" spans="1:16" x14ac:dyDescent="0.3">
      <c r="A85" t="s">
        <v>214</v>
      </c>
      <c r="B85" t="s">
        <v>215</v>
      </c>
      <c r="C85" t="s">
        <v>17</v>
      </c>
      <c r="D85">
        <v>27</v>
      </c>
      <c r="E85" s="4">
        <v>35920</v>
      </c>
      <c r="F85" t="s">
        <v>55</v>
      </c>
      <c r="G85" t="s">
        <v>56</v>
      </c>
      <c r="H85" s="2">
        <v>45255</v>
      </c>
      <c r="J85" t="s">
        <v>37</v>
      </c>
      <c r="K85" t="s">
        <v>21</v>
      </c>
      <c r="L85" t="s">
        <v>22</v>
      </c>
      <c r="M85">
        <v>2</v>
      </c>
      <c r="N85">
        <v>14</v>
      </c>
      <c r="O85">
        <v>10</v>
      </c>
      <c r="P85">
        <v>16</v>
      </c>
    </row>
    <row r="86" spans="1:16" x14ac:dyDescent="0.3">
      <c r="A86" t="s">
        <v>216</v>
      </c>
      <c r="B86" t="s">
        <v>217</v>
      </c>
      <c r="C86" t="s">
        <v>35</v>
      </c>
      <c r="D86">
        <v>38</v>
      </c>
      <c r="E86" s="4">
        <v>32101</v>
      </c>
      <c r="F86" t="s">
        <v>41</v>
      </c>
      <c r="G86" t="s">
        <v>111</v>
      </c>
      <c r="H86" s="2">
        <v>42535</v>
      </c>
      <c r="J86" t="s">
        <v>37</v>
      </c>
      <c r="K86" t="s">
        <v>32</v>
      </c>
      <c r="L86" t="s">
        <v>27</v>
      </c>
      <c r="M86">
        <v>3</v>
      </c>
      <c r="N86">
        <v>18</v>
      </c>
      <c r="O86">
        <v>4</v>
      </c>
      <c r="P86">
        <v>40</v>
      </c>
    </row>
    <row r="87" spans="1:16" x14ac:dyDescent="0.3">
      <c r="A87" t="s">
        <v>218</v>
      </c>
      <c r="B87" t="s">
        <v>219</v>
      </c>
      <c r="C87" t="s">
        <v>35</v>
      </c>
      <c r="D87">
        <v>38</v>
      </c>
      <c r="E87" s="4">
        <v>31844</v>
      </c>
      <c r="F87" t="s">
        <v>30</v>
      </c>
      <c r="G87" t="s">
        <v>31</v>
      </c>
      <c r="H87" s="2">
        <v>41810</v>
      </c>
      <c r="J87" t="s">
        <v>37</v>
      </c>
      <c r="K87" t="s">
        <v>32</v>
      </c>
      <c r="L87" t="s">
        <v>22</v>
      </c>
      <c r="M87">
        <v>4</v>
      </c>
      <c r="N87">
        <v>18</v>
      </c>
      <c r="O87">
        <v>5</v>
      </c>
      <c r="P87">
        <v>36</v>
      </c>
    </row>
    <row r="88" spans="1:16" x14ac:dyDescent="0.3">
      <c r="A88" t="s">
        <v>220</v>
      </c>
      <c r="B88" t="s">
        <v>221</v>
      </c>
      <c r="C88" t="s">
        <v>35</v>
      </c>
      <c r="D88">
        <v>40</v>
      </c>
      <c r="E88" s="4">
        <v>31254</v>
      </c>
      <c r="F88" t="s">
        <v>41</v>
      </c>
      <c r="G88" t="s">
        <v>111</v>
      </c>
      <c r="H88" s="2">
        <v>42427</v>
      </c>
      <c r="I88" s="3">
        <v>45236</v>
      </c>
      <c r="J88" t="s">
        <v>20</v>
      </c>
      <c r="K88" t="s">
        <v>21</v>
      </c>
      <c r="L88" t="s">
        <v>38</v>
      </c>
      <c r="M88">
        <v>4</v>
      </c>
      <c r="N88">
        <v>26</v>
      </c>
      <c r="O88">
        <v>4</v>
      </c>
      <c r="P88">
        <v>14</v>
      </c>
    </row>
    <row r="89" spans="1:16" x14ac:dyDescent="0.3">
      <c r="A89" t="s">
        <v>222</v>
      </c>
      <c r="B89" t="s">
        <v>223</v>
      </c>
      <c r="C89" t="s">
        <v>35</v>
      </c>
      <c r="D89">
        <v>36</v>
      </c>
      <c r="E89" s="4">
        <v>32713</v>
      </c>
      <c r="F89" t="s">
        <v>25</v>
      </c>
      <c r="G89" t="s">
        <v>26</v>
      </c>
      <c r="H89" s="2">
        <v>42232</v>
      </c>
      <c r="J89" t="s">
        <v>37</v>
      </c>
      <c r="K89" t="s">
        <v>43</v>
      </c>
      <c r="L89" t="s">
        <v>38</v>
      </c>
      <c r="M89">
        <v>1</v>
      </c>
      <c r="N89">
        <v>28</v>
      </c>
      <c r="O89">
        <v>10</v>
      </c>
      <c r="P89">
        <v>2</v>
      </c>
    </row>
    <row r="90" spans="1:16" x14ac:dyDescent="0.3">
      <c r="A90" t="s">
        <v>224</v>
      </c>
      <c r="B90" t="s">
        <v>225</v>
      </c>
      <c r="C90" t="s">
        <v>35</v>
      </c>
      <c r="D90">
        <v>50</v>
      </c>
      <c r="E90" s="4">
        <v>27502</v>
      </c>
      <c r="F90" t="s">
        <v>41</v>
      </c>
      <c r="G90" t="s">
        <v>61</v>
      </c>
      <c r="H90" s="2">
        <v>41255</v>
      </c>
      <c r="I90" s="3">
        <v>42463</v>
      </c>
      <c r="J90" t="s">
        <v>20</v>
      </c>
      <c r="K90" t="s">
        <v>52</v>
      </c>
      <c r="L90" t="s">
        <v>22</v>
      </c>
      <c r="M90">
        <v>2</v>
      </c>
      <c r="N90">
        <v>4</v>
      </c>
      <c r="O90">
        <v>8</v>
      </c>
      <c r="P90">
        <v>23</v>
      </c>
    </row>
    <row r="91" spans="1:16" x14ac:dyDescent="0.3">
      <c r="A91" t="s">
        <v>226</v>
      </c>
      <c r="B91" t="s">
        <v>227</v>
      </c>
      <c r="C91" t="s">
        <v>35</v>
      </c>
      <c r="D91">
        <v>32</v>
      </c>
      <c r="E91" s="4">
        <v>34246</v>
      </c>
      <c r="F91" t="s">
        <v>18</v>
      </c>
      <c r="G91" t="s">
        <v>46</v>
      </c>
      <c r="H91" s="2">
        <v>42596</v>
      </c>
      <c r="J91" t="s">
        <v>37</v>
      </c>
      <c r="K91" t="s">
        <v>32</v>
      </c>
      <c r="L91" t="s">
        <v>27</v>
      </c>
      <c r="M91">
        <v>1</v>
      </c>
      <c r="N91">
        <v>4</v>
      </c>
      <c r="O91">
        <v>3</v>
      </c>
      <c r="P91">
        <v>25</v>
      </c>
    </row>
    <row r="92" spans="1:16" x14ac:dyDescent="0.3">
      <c r="A92" t="s">
        <v>228</v>
      </c>
      <c r="B92" t="s">
        <v>229</v>
      </c>
      <c r="C92" t="s">
        <v>35</v>
      </c>
      <c r="D92">
        <v>27</v>
      </c>
      <c r="E92" s="4">
        <v>36082</v>
      </c>
      <c r="F92" t="s">
        <v>30</v>
      </c>
      <c r="G92" t="s">
        <v>90</v>
      </c>
      <c r="H92" s="2">
        <v>42345</v>
      </c>
      <c r="J92" t="s">
        <v>37</v>
      </c>
      <c r="K92" t="s">
        <v>71</v>
      </c>
      <c r="L92" t="s">
        <v>38</v>
      </c>
      <c r="M92">
        <v>5</v>
      </c>
      <c r="N92">
        <v>18</v>
      </c>
      <c r="O92">
        <v>6</v>
      </c>
      <c r="P92">
        <v>40</v>
      </c>
    </row>
    <row r="93" spans="1:16" x14ac:dyDescent="0.3">
      <c r="A93" t="s">
        <v>230</v>
      </c>
      <c r="B93" t="s">
        <v>231</v>
      </c>
      <c r="C93" t="s">
        <v>35</v>
      </c>
      <c r="D93">
        <v>28</v>
      </c>
      <c r="E93" s="4">
        <v>35454</v>
      </c>
      <c r="F93" t="s">
        <v>25</v>
      </c>
      <c r="G93" t="s">
        <v>97</v>
      </c>
      <c r="H93" s="2">
        <v>40384</v>
      </c>
      <c r="J93" t="s">
        <v>37</v>
      </c>
      <c r="K93" t="s">
        <v>71</v>
      </c>
      <c r="L93" t="s">
        <v>38</v>
      </c>
      <c r="M93">
        <v>2</v>
      </c>
      <c r="N93">
        <v>20</v>
      </c>
      <c r="O93">
        <v>1</v>
      </c>
      <c r="P93">
        <v>40</v>
      </c>
    </row>
    <row r="94" spans="1:16" x14ac:dyDescent="0.3">
      <c r="A94" t="s">
        <v>232</v>
      </c>
      <c r="B94" t="s">
        <v>233</v>
      </c>
      <c r="C94" t="s">
        <v>35</v>
      </c>
      <c r="D94">
        <v>41</v>
      </c>
      <c r="E94" s="4">
        <v>31021</v>
      </c>
      <c r="F94" t="s">
        <v>30</v>
      </c>
      <c r="G94" t="s">
        <v>90</v>
      </c>
      <c r="H94" s="2">
        <v>41324</v>
      </c>
      <c r="I94" s="3">
        <v>41476</v>
      </c>
      <c r="J94" t="s">
        <v>20</v>
      </c>
      <c r="K94" t="s">
        <v>52</v>
      </c>
      <c r="L94" t="s">
        <v>22</v>
      </c>
      <c r="M94">
        <v>1</v>
      </c>
      <c r="N94">
        <v>7</v>
      </c>
      <c r="O94">
        <v>8</v>
      </c>
      <c r="P94">
        <v>8</v>
      </c>
    </row>
    <row r="95" spans="1:16" x14ac:dyDescent="0.3">
      <c r="A95" t="s">
        <v>234</v>
      </c>
      <c r="B95" t="s">
        <v>235</v>
      </c>
      <c r="C95" t="s">
        <v>35</v>
      </c>
      <c r="D95">
        <v>51</v>
      </c>
      <c r="E95" s="4">
        <v>27352</v>
      </c>
      <c r="F95" t="s">
        <v>18</v>
      </c>
      <c r="G95" t="s">
        <v>49</v>
      </c>
      <c r="H95" s="2">
        <v>44604</v>
      </c>
      <c r="J95" t="s">
        <v>37</v>
      </c>
      <c r="K95" t="s">
        <v>52</v>
      </c>
      <c r="L95" t="s">
        <v>38</v>
      </c>
      <c r="M95">
        <v>1</v>
      </c>
      <c r="N95">
        <v>26</v>
      </c>
      <c r="O95">
        <v>7</v>
      </c>
      <c r="P95">
        <v>39</v>
      </c>
    </row>
    <row r="96" spans="1:16" x14ac:dyDescent="0.3">
      <c r="A96" t="s">
        <v>236</v>
      </c>
      <c r="B96" t="s">
        <v>237</v>
      </c>
      <c r="C96" t="s">
        <v>35</v>
      </c>
      <c r="D96">
        <v>39</v>
      </c>
      <c r="E96" s="4">
        <v>31645</v>
      </c>
      <c r="F96" t="s">
        <v>41</v>
      </c>
      <c r="G96" t="s">
        <v>61</v>
      </c>
      <c r="H96" s="2">
        <v>41958</v>
      </c>
      <c r="J96" t="s">
        <v>37</v>
      </c>
      <c r="K96" t="s">
        <v>71</v>
      </c>
      <c r="L96" t="s">
        <v>22</v>
      </c>
      <c r="M96">
        <v>3</v>
      </c>
      <c r="N96">
        <v>17</v>
      </c>
      <c r="O96">
        <v>10</v>
      </c>
      <c r="P96">
        <v>22</v>
      </c>
    </row>
    <row r="97" spans="1:16" x14ac:dyDescent="0.3">
      <c r="A97" t="s">
        <v>238</v>
      </c>
      <c r="B97" t="s">
        <v>239</v>
      </c>
      <c r="C97" t="s">
        <v>17</v>
      </c>
      <c r="D97">
        <v>47</v>
      </c>
      <c r="E97" s="4">
        <v>28632</v>
      </c>
      <c r="F97" t="s">
        <v>18</v>
      </c>
      <c r="G97" t="s">
        <v>19</v>
      </c>
      <c r="H97" s="2">
        <v>41179</v>
      </c>
      <c r="J97" t="s">
        <v>37</v>
      </c>
      <c r="K97" t="s">
        <v>32</v>
      </c>
      <c r="L97" t="s">
        <v>38</v>
      </c>
      <c r="M97">
        <v>2</v>
      </c>
      <c r="N97">
        <v>20</v>
      </c>
      <c r="O97">
        <v>10</v>
      </c>
      <c r="P97">
        <v>38</v>
      </c>
    </row>
    <row r="98" spans="1:16" x14ac:dyDescent="0.3">
      <c r="A98" t="s">
        <v>240</v>
      </c>
      <c r="B98" t="s">
        <v>241</v>
      </c>
      <c r="C98" t="s">
        <v>17</v>
      </c>
      <c r="D98">
        <v>25</v>
      </c>
      <c r="E98" s="4">
        <v>36812</v>
      </c>
      <c r="F98" t="s">
        <v>18</v>
      </c>
      <c r="G98" t="s">
        <v>19</v>
      </c>
      <c r="H98" s="2">
        <v>41210</v>
      </c>
      <c r="J98" t="s">
        <v>37</v>
      </c>
      <c r="K98" t="s">
        <v>32</v>
      </c>
      <c r="L98" t="s">
        <v>38</v>
      </c>
      <c r="M98">
        <v>2</v>
      </c>
      <c r="N98">
        <v>18</v>
      </c>
      <c r="O98">
        <v>3</v>
      </c>
      <c r="P98">
        <v>14</v>
      </c>
    </row>
    <row r="99" spans="1:16" x14ac:dyDescent="0.3">
      <c r="A99" t="s">
        <v>242</v>
      </c>
      <c r="B99" t="s">
        <v>243</v>
      </c>
      <c r="C99" t="s">
        <v>35</v>
      </c>
      <c r="D99">
        <v>31</v>
      </c>
      <c r="E99" s="4">
        <v>34506</v>
      </c>
      <c r="F99" t="s">
        <v>55</v>
      </c>
      <c r="G99" t="s">
        <v>64</v>
      </c>
      <c r="H99" s="2">
        <v>42450</v>
      </c>
      <c r="J99" t="s">
        <v>37</v>
      </c>
      <c r="K99" t="s">
        <v>43</v>
      </c>
      <c r="L99" t="s">
        <v>38</v>
      </c>
      <c r="M99">
        <v>3</v>
      </c>
      <c r="N99">
        <v>25</v>
      </c>
      <c r="O99">
        <v>2</v>
      </c>
      <c r="P99">
        <v>7</v>
      </c>
    </row>
    <row r="100" spans="1:16" x14ac:dyDescent="0.3">
      <c r="A100" t="s">
        <v>244</v>
      </c>
      <c r="B100" t="s">
        <v>245</v>
      </c>
      <c r="C100" t="s">
        <v>17</v>
      </c>
      <c r="D100">
        <v>30</v>
      </c>
      <c r="E100" s="4">
        <v>34964</v>
      </c>
      <c r="F100" t="s">
        <v>41</v>
      </c>
      <c r="G100" t="s">
        <v>61</v>
      </c>
      <c r="H100" s="2">
        <v>42128</v>
      </c>
      <c r="J100" t="s">
        <v>37</v>
      </c>
      <c r="K100" t="s">
        <v>43</v>
      </c>
      <c r="L100" t="s">
        <v>27</v>
      </c>
      <c r="M100">
        <v>1</v>
      </c>
      <c r="N100">
        <v>4</v>
      </c>
      <c r="O100">
        <v>6</v>
      </c>
      <c r="P100">
        <v>33</v>
      </c>
    </row>
    <row r="101" spans="1:16" x14ac:dyDescent="0.3">
      <c r="A101" t="s">
        <v>246</v>
      </c>
      <c r="B101" t="s">
        <v>247</v>
      </c>
      <c r="C101" t="s">
        <v>17</v>
      </c>
      <c r="D101">
        <v>26</v>
      </c>
      <c r="E101" s="4">
        <v>36230</v>
      </c>
      <c r="F101" t="s">
        <v>30</v>
      </c>
      <c r="G101" t="s">
        <v>31</v>
      </c>
      <c r="H101" s="2">
        <v>43144</v>
      </c>
      <c r="J101" t="s">
        <v>37</v>
      </c>
      <c r="K101" t="s">
        <v>52</v>
      </c>
      <c r="L101" t="s">
        <v>38</v>
      </c>
      <c r="M101">
        <v>2</v>
      </c>
      <c r="N101">
        <v>30</v>
      </c>
      <c r="O101">
        <v>9</v>
      </c>
      <c r="P101">
        <v>2</v>
      </c>
    </row>
    <row r="102" spans="1:16" x14ac:dyDescent="0.3">
      <c r="A102" t="s">
        <v>248</v>
      </c>
      <c r="B102" t="s">
        <v>249</v>
      </c>
      <c r="C102" t="s">
        <v>35</v>
      </c>
      <c r="D102">
        <v>51</v>
      </c>
      <c r="E102" s="4">
        <v>27227</v>
      </c>
      <c r="F102" t="s">
        <v>41</v>
      </c>
      <c r="G102" t="s">
        <v>42</v>
      </c>
      <c r="H102" s="2">
        <v>44102</v>
      </c>
      <c r="J102" t="s">
        <v>37</v>
      </c>
      <c r="K102" t="s">
        <v>32</v>
      </c>
      <c r="L102" t="s">
        <v>27</v>
      </c>
      <c r="M102">
        <v>4</v>
      </c>
      <c r="N102">
        <v>2</v>
      </c>
      <c r="O102">
        <v>1</v>
      </c>
      <c r="P102">
        <v>20</v>
      </c>
    </row>
    <row r="103" spans="1:16" x14ac:dyDescent="0.3">
      <c r="A103" t="s">
        <v>250</v>
      </c>
      <c r="B103" t="s">
        <v>251</v>
      </c>
      <c r="C103" t="s">
        <v>17</v>
      </c>
      <c r="D103">
        <v>26</v>
      </c>
      <c r="E103" s="4">
        <v>36333</v>
      </c>
      <c r="F103" t="s">
        <v>25</v>
      </c>
      <c r="G103" t="s">
        <v>97</v>
      </c>
      <c r="H103" s="2">
        <v>44974</v>
      </c>
      <c r="J103" t="s">
        <v>37</v>
      </c>
      <c r="K103" t="s">
        <v>52</v>
      </c>
      <c r="L103" t="s">
        <v>38</v>
      </c>
      <c r="M103">
        <v>5</v>
      </c>
      <c r="N103">
        <v>9</v>
      </c>
      <c r="O103">
        <v>7</v>
      </c>
      <c r="P103">
        <v>32</v>
      </c>
    </row>
    <row r="104" spans="1:16" x14ac:dyDescent="0.3">
      <c r="A104" t="s">
        <v>252</v>
      </c>
      <c r="B104" t="s">
        <v>253</v>
      </c>
      <c r="C104" t="s">
        <v>35</v>
      </c>
      <c r="D104">
        <v>28</v>
      </c>
      <c r="E104" s="4">
        <v>35456</v>
      </c>
      <c r="F104" t="s">
        <v>41</v>
      </c>
      <c r="G104" t="s">
        <v>83</v>
      </c>
      <c r="H104" s="2">
        <v>43702</v>
      </c>
      <c r="J104" t="s">
        <v>37</v>
      </c>
      <c r="K104" t="s">
        <v>52</v>
      </c>
      <c r="L104" t="s">
        <v>27</v>
      </c>
      <c r="M104">
        <v>4</v>
      </c>
      <c r="N104">
        <v>12</v>
      </c>
      <c r="O104">
        <v>6</v>
      </c>
      <c r="P104">
        <v>6</v>
      </c>
    </row>
    <row r="105" spans="1:16" x14ac:dyDescent="0.3">
      <c r="A105" t="s">
        <v>254</v>
      </c>
      <c r="B105" t="s">
        <v>255</v>
      </c>
      <c r="C105" t="s">
        <v>35</v>
      </c>
      <c r="D105">
        <v>49</v>
      </c>
      <c r="E105" s="4">
        <v>27798</v>
      </c>
      <c r="F105" t="s">
        <v>18</v>
      </c>
      <c r="G105" t="s">
        <v>49</v>
      </c>
      <c r="H105" s="2">
        <v>42267</v>
      </c>
      <c r="J105" t="s">
        <v>37</v>
      </c>
      <c r="K105" t="s">
        <v>52</v>
      </c>
      <c r="L105" t="s">
        <v>22</v>
      </c>
      <c r="M105">
        <v>1</v>
      </c>
      <c r="N105">
        <v>26</v>
      </c>
      <c r="O105">
        <v>1</v>
      </c>
      <c r="P105">
        <v>5</v>
      </c>
    </row>
    <row r="106" spans="1:16" x14ac:dyDescent="0.3">
      <c r="A106" t="s">
        <v>256</v>
      </c>
      <c r="B106" t="s">
        <v>257</v>
      </c>
      <c r="C106" t="s">
        <v>35</v>
      </c>
      <c r="D106">
        <v>28</v>
      </c>
      <c r="E106" s="4">
        <v>35572</v>
      </c>
      <c r="F106" t="s">
        <v>18</v>
      </c>
      <c r="G106" t="s">
        <v>19</v>
      </c>
      <c r="H106" s="2">
        <v>44736</v>
      </c>
      <c r="I106" s="3">
        <v>45073</v>
      </c>
      <c r="J106" t="s">
        <v>20</v>
      </c>
      <c r="K106" t="s">
        <v>32</v>
      </c>
      <c r="L106" t="s">
        <v>27</v>
      </c>
      <c r="M106">
        <v>3</v>
      </c>
      <c r="N106">
        <v>27</v>
      </c>
      <c r="O106">
        <v>10</v>
      </c>
      <c r="P106">
        <v>27</v>
      </c>
    </row>
    <row r="107" spans="1:16" x14ac:dyDescent="0.3">
      <c r="A107" t="s">
        <v>258</v>
      </c>
      <c r="B107" t="s">
        <v>259</v>
      </c>
      <c r="C107" t="s">
        <v>17</v>
      </c>
      <c r="D107">
        <v>40</v>
      </c>
      <c r="E107" s="4">
        <v>31184</v>
      </c>
      <c r="F107" t="s">
        <v>55</v>
      </c>
      <c r="G107" t="s">
        <v>56</v>
      </c>
      <c r="H107" s="2">
        <v>43059</v>
      </c>
      <c r="I107" s="3">
        <v>45137</v>
      </c>
      <c r="J107" t="s">
        <v>20</v>
      </c>
      <c r="K107" t="s">
        <v>43</v>
      </c>
      <c r="L107" t="s">
        <v>38</v>
      </c>
      <c r="M107">
        <v>4</v>
      </c>
      <c r="N107">
        <v>7</v>
      </c>
      <c r="O107">
        <v>1</v>
      </c>
      <c r="P107">
        <v>22</v>
      </c>
    </row>
    <row r="108" spans="1:16" x14ac:dyDescent="0.3">
      <c r="A108" t="s">
        <v>260</v>
      </c>
      <c r="B108" t="s">
        <v>261</v>
      </c>
      <c r="C108" t="s">
        <v>35</v>
      </c>
      <c r="D108">
        <v>29</v>
      </c>
      <c r="E108" s="4">
        <v>35240</v>
      </c>
      <c r="F108" t="s">
        <v>18</v>
      </c>
      <c r="G108" t="s">
        <v>49</v>
      </c>
      <c r="H108" s="2">
        <v>42031</v>
      </c>
      <c r="J108" t="s">
        <v>37</v>
      </c>
      <c r="K108" t="s">
        <v>21</v>
      </c>
      <c r="L108" t="s">
        <v>38</v>
      </c>
      <c r="M108">
        <v>5</v>
      </c>
      <c r="N108">
        <v>0</v>
      </c>
      <c r="O108">
        <v>9</v>
      </c>
      <c r="P108">
        <v>17</v>
      </c>
    </row>
    <row r="109" spans="1:16" x14ac:dyDescent="0.3">
      <c r="A109" t="s">
        <v>262</v>
      </c>
      <c r="B109" t="s">
        <v>263</v>
      </c>
      <c r="C109" t="s">
        <v>17</v>
      </c>
      <c r="D109">
        <v>33</v>
      </c>
      <c r="E109" s="4">
        <v>33950</v>
      </c>
      <c r="F109" t="s">
        <v>18</v>
      </c>
      <c r="G109" t="s">
        <v>49</v>
      </c>
      <c r="H109" s="2">
        <v>42710</v>
      </c>
      <c r="J109" t="s">
        <v>37</v>
      </c>
      <c r="K109" t="s">
        <v>32</v>
      </c>
      <c r="L109" t="s">
        <v>22</v>
      </c>
      <c r="M109">
        <v>2</v>
      </c>
      <c r="N109">
        <v>18</v>
      </c>
      <c r="O109">
        <v>10</v>
      </c>
      <c r="P109">
        <v>25</v>
      </c>
    </row>
    <row r="110" spans="1:16" x14ac:dyDescent="0.3">
      <c r="A110" t="s">
        <v>264</v>
      </c>
      <c r="B110" t="s">
        <v>265</v>
      </c>
      <c r="C110" t="s">
        <v>17</v>
      </c>
      <c r="D110">
        <v>31</v>
      </c>
      <c r="E110" s="4">
        <v>34413</v>
      </c>
      <c r="F110" t="s">
        <v>41</v>
      </c>
      <c r="G110" t="s">
        <v>42</v>
      </c>
      <c r="H110" s="2">
        <v>44524</v>
      </c>
      <c r="J110" t="s">
        <v>37</v>
      </c>
      <c r="K110" t="s">
        <v>52</v>
      </c>
      <c r="L110" t="s">
        <v>27</v>
      </c>
      <c r="M110">
        <v>2</v>
      </c>
      <c r="N110">
        <v>11</v>
      </c>
      <c r="O110">
        <v>4</v>
      </c>
      <c r="P110">
        <v>20</v>
      </c>
    </row>
    <row r="111" spans="1:16" x14ac:dyDescent="0.3">
      <c r="A111" t="s">
        <v>266</v>
      </c>
      <c r="B111" t="s">
        <v>267</v>
      </c>
      <c r="C111" t="s">
        <v>17</v>
      </c>
      <c r="D111">
        <v>25</v>
      </c>
      <c r="E111" s="4">
        <v>36662</v>
      </c>
      <c r="F111" t="s">
        <v>25</v>
      </c>
      <c r="G111" t="s">
        <v>106</v>
      </c>
      <c r="H111" s="2">
        <v>45240</v>
      </c>
      <c r="I111" s="3">
        <v>45245</v>
      </c>
      <c r="J111" t="s">
        <v>20</v>
      </c>
      <c r="K111" t="s">
        <v>52</v>
      </c>
      <c r="L111" t="s">
        <v>38</v>
      </c>
      <c r="M111">
        <v>4</v>
      </c>
      <c r="N111">
        <v>15</v>
      </c>
      <c r="O111">
        <v>9</v>
      </c>
      <c r="P111">
        <v>28</v>
      </c>
    </row>
    <row r="112" spans="1:16" x14ac:dyDescent="0.3">
      <c r="A112" t="s">
        <v>268</v>
      </c>
      <c r="B112" t="s">
        <v>269</v>
      </c>
      <c r="C112" t="s">
        <v>35</v>
      </c>
      <c r="D112">
        <v>39</v>
      </c>
      <c r="E112" s="4">
        <v>31498</v>
      </c>
      <c r="F112" t="s">
        <v>25</v>
      </c>
      <c r="G112" t="s">
        <v>26</v>
      </c>
      <c r="H112" s="2">
        <v>41111</v>
      </c>
      <c r="J112" t="s">
        <v>37</v>
      </c>
      <c r="K112" t="s">
        <v>71</v>
      </c>
      <c r="L112" t="s">
        <v>38</v>
      </c>
      <c r="M112">
        <v>5</v>
      </c>
      <c r="N112">
        <v>15</v>
      </c>
      <c r="O112">
        <v>8</v>
      </c>
      <c r="P112">
        <v>19</v>
      </c>
    </row>
    <row r="113" spans="1:16" x14ac:dyDescent="0.3">
      <c r="A113" t="s">
        <v>270</v>
      </c>
      <c r="B113" t="s">
        <v>271</v>
      </c>
      <c r="C113" t="s">
        <v>17</v>
      </c>
      <c r="D113">
        <v>36</v>
      </c>
      <c r="E113" s="4">
        <v>32752</v>
      </c>
      <c r="F113" t="s">
        <v>30</v>
      </c>
      <c r="G113" t="s">
        <v>36</v>
      </c>
      <c r="H113" s="2">
        <v>40627</v>
      </c>
      <c r="I113" s="3">
        <v>43096</v>
      </c>
      <c r="J113" t="s">
        <v>20</v>
      </c>
      <c r="K113" t="s">
        <v>43</v>
      </c>
      <c r="L113" t="s">
        <v>27</v>
      </c>
      <c r="M113">
        <v>3</v>
      </c>
      <c r="N113">
        <v>10</v>
      </c>
      <c r="O113">
        <v>1</v>
      </c>
      <c r="P113">
        <v>0</v>
      </c>
    </row>
    <row r="114" spans="1:16" x14ac:dyDescent="0.3">
      <c r="A114" t="s">
        <v>272</v>
      </c>
      <c r="B114" t="s">
        <v>273</v>
      </c>
      <c r="C114" t="s">
        <v>35</v>
      </c>
      <c r="D114">
        <v>49</v>
      </c>
      <c r="E114" s="4">
        <v>27855</v>
      </c>
      <c r="F114" t="s">
        <v>25</v>
      </c>
      <c r="G114" t="s">
        <v>106</v>
      </c>
      <c r="H114" s="2">
        <v>43293</v>
      </c>
      <c r="J114" t="s">
        <v>37</v>
      </c>
      <c r="K114" t="s">
        <v>21</v>
      </c>
      <c r="L114" t="s">
        <v>38</v>
      </c>
      <c r="M114">
        <v>3</v>
      </c>
      <c r="N114">
        <v>2</v>
      </c>
      <c r="O114">
        <v>6</v>
      </c>
      <c r="P114">
        <v>2</v>
      </c>
    </row>
    <row r="115" spans="1:16" x14ac:dyDescent="0.3">
      <c r="A115" t="s">
        <v>274</v>
      </c>
      <c r="B115" t="s">
        <v>275</v>
      </c>
      <c r="C115" t="s">
        <v>35</v>
      </c>
      <c r="D115">
        <v>23</v>
      </c>
      <c r="E115" s="4">
        <v>37408</v>
      </c>
      <c r="F115" t="s">
        <v>30</v>
      </c>
      <c r="G115" t="s">
        <v>90</v>
      </c>
      <c r="H115" s="2">
        <v>42743</v>
      </c>
      <c r="J115" t="s">
        <v>37</v>
      </c>
      <c r="K115" t="s">
        <v>52</v>
      </c>
      <c r="L115" t="s">
        <v>38</v>
      </c>
      <c r="M115">
        <v>4</v>
      </c>
      <c r="N115">
        <v>9</v>
      </c>
      <c r="O115">
        <v>1</v>
      </c>
      <c r="P115">
        <v>25</v>
      </c>
    </row>
    <row r="116" spans="1:16" x14ac:dyDescent="0.3">
      <c r="A116" t="s">
        <v>276</v>
      </c>
      <c r="B116" t="s">
        <v>277</v>
      </c>
      <c r="C116" t="s">
        <v>17</v>
      </c>
      <c r="D116">
        <v>42</v>
      </c>
      <c r="E116" s="4">
        <v>30530</v>
      </c>
      <c r="F116" t="s">
        <v>25</v>
      </c>
      <c r="G116" t="s">
        <v>26</v>
      </c>
      <c r="H116" s="2">
        <v>43948</v>
      </c>
      <c r="J116" t="s">
        <v>37</v>
      </c>
      <c r="K116" t="s">
        <v>32</v>
      </c>
      <c r="L116" t="s">
        <v>27</v>
      </c>
      <c r="M116">
        <v>1</v>
      </c>
      <c r="N116">
        <v>7</v>
      </c>
      <c r="O116">
        <v>6</v>
      </c>
      <c r="P116">
        <v>37</v>
      </c>
    </row>
    <row r="117" spans="1:16" x14ac:dyDescent="0.3">
      <c r="A117" t="s">
        <v>278</v>
      </c>
      <c r="B117" t="s">
        <v>279</v>
      </c>
      <c r="C117" t="s">
        <v>35</v>
      </c>
      <c r="D117">
        <v>55</v>
      </c>
      <c r="E117" s="4">
        <v>25744</v>
      </c>
      <c r="F117" t="s">
        <v>41</v>
      </c>
      <c r="G117" t="s">
        <v>111</v>
      </c>
      <c r="H117" s="2">
        <v>42720</v>
      </c>
      <c r="J117" t="s">
        <v>37</v>
      </c>
      <c r="K117" t="s">
        <v>71</v>
      </c>
      <c r="L117" t="s">
        <v>22</v>
      </c>
      <c r="M117">
        <v>1</v>
      </c>
      <c r="N117">
        <v>16</v>
      </c>
      <c r="O117">
        <v>10</v>
      </c>
      <c r="P117">
        <v>7</v>
      </c>
    </row>
    <row r="118" spans="1:16" x14ac:dyDescent="0.3">
      <c r="A118" t="s">
        <v>280</v>
      </c>
      <c r="B118" t="s">
        <v>281</v>
      </c>
      <c r="C118" t="s">
        <v>17</v>
      </c>
      <c r="D118">
        <v>44</v>
      </c>
      <c r="E118" s="4">
        <v>29677</v>
      </c>
      <c r="F118" t="s">
        <v>18</v>
      </c>
      <c r="G118" t="s">
        <v>49</v>
      </c>
      <c r="H118" s="2">
        <v>41388</v>
      </c>
      <c r="J118" t="s">
        <v>37</v>
      </c>
      <c r="K118" t="s">
        <v>71</v>
      </c>
      <c r="L118" t="s">
        <v>22</v>
      </c>
      <c r="M118">
        <v>2</v>
      </c>
      <c r="N118">
        <v>19</v>
      </c>
      <c r="O118">
        <v>2</v>
      </c>
      <c r="P118">
        <v>4</v>
      </c>
    </row>
    <row r="119" spans="1:16" x14ac:dyDescent="0.3">
      <c r="A119" t="s">
        <v>282</v>
      </c>
      <c r="B119" t="s">
        <v>283</v>
      </c>
      <c r="C119" t="s">
        <v>17</v>
      </c>
      <c r="D119">
        <v>53</v>
      </c>
      <c r="E119" s="4">
        <v>26637</v>
      </c>
      <c r="F119" t="s">
        <v>30</v>
      </c>
      <c r="G119" t="s">
        <v>36</v>
      </c>
      <c r="H119" s="2">
        <v>44926</v>
      </c>
      <c r="J119" t="s">
        <v>37</v>
      </c>
      <c r="K119" t="s">
        <v>21</v>
      </c>
      <c r="L119" t="s">
        <v>27</v>
      </c>
      <c r="M119">
        <v>3</v>
      </c>
      <c r="N119">
        <v>4</v>
      </c>
      <c r="O119">
        <v>7</v>
      </c>
      <c r="P119">
        <v>4</v>
      </c>
    </row>
    <row r="120" spans="1:16" x14ac:dyDescent="0.3">
      <c r="A120" t="s">
        <v>284</v>
      </c>
      <c r="B120" t="s">
        <v>285</v>
      </c>
      <c r="C120" t="s">
        <v>35</v>
      </c>
      <c r="D120">
        <v>50</v>
      </c>
      <c r="E120" s="4">
        <v>27710</v>
      </c>
      <c r="F120" t="s">
        <v>18</v>
      </c>
      <c r="G120" t="s">
        <v>46</v>
      </c>
      <c r="H120" s="2">
        <v>45023</v>
      </c>
      <c r="I120" s="3">
        <v>45282</v>
      </c>
      <c r="J120" t="s">
        <v>20</v>
      </c>
      <c r="K120" t="s">
        <v>71</v>
      </c>
      <c r="L120" t="s">
        <v>27</v>
      </c>
      <c r="M120">
        <v>4</v>
      </c>
      <c r="N120">
        <v>1</v>
      </c>
      <c r="O120">
        <v>0</v>
      </c>
      <c r="P120">
        <v>23</v>
      </c>
    </row>
    <row r="121" spans="1:16" x14ac:dyDescent="0.3">
      <c r="A121" t="s">
        <v>286</v>
      </c>
      <c r="B121" t="s">
        <v>287</v>
      </c>
      <c r="C121" t="s">
        <v>35</v>
      </c>
      <c r="D121">
        <v>26</v>
      </c>
      <c r="E121" s="4">
        <v>36440</v>
      </c>
      <c r="F121" t="s">
        <v>41</v>
      </c>
      <c r="G121" t="s">
        <v>111</v>
      </c>
      <c r="H121" s="2">
        <v>43969</v>
      </c>
      <c r="J121" t="s">
        <v>37</v>
      </c>
      <c r="K121" t="s">
        <v>52</v>
      </c>
      <c r="L121" t="s">
        <v>38</v>
      </c>
      <c r="M121">
        <v>2</v>
      </c>
      <c r="N121">
        <v>10</v>
      </c>
      <c r="O121">
        <v>9</v>
      </c>
      <c r="P121">
        <v>30</v>
      </c>
    </row>
    <row r="122" spans="1:16" x14ac:dyDescent="0.3">
      <c r="A122" t="s">
        <v>288</v>
      </c>
      <c r="B122" t="s">
        <v>289</v>
      </c>
      <c r="C122" t="s">
        <v>17</v>
      </c>
      <c r="D122">
        <v>25</v>
      </c>
      <c r="E122" s="4">
        <v>36663</v>
      </c>
      <c r="F122" t="s">
        <v>30</v>
      </c>
      <c r="G122" t="s">
        <v>90</v>
      </c>
      <c r="H122" s="2">
        <v>42992</v>
      </c>
      <c r="J122" t="s">
        <v>37</v>
      </c>
      <c r="K122" t="s">
        <v>21</v>
      </c>
      <c r="L122" t="s">
        <v>38</v>
      </c>
      <c r="M122">
        <v>2</v>
      </c>
      <c r="N122">
        <v>1</v>
      </c>
      <c r="O122">
        <v>3</v>
      </c>
      <c r="P122">
        <v>28</v>
      </c>
    </row>
    <row r="123" spans="1:16" x14ac:dyDescent="0.3">
      <c r="A123" t="s">
        <v>290</v>
      </c>
      <c r="B123" t="s">
        <v>291</v>
      </c>
      <c r="C123" t="s">
        <v>35</v>
      </c>
      <c r="D123">
        <v>55</v>
      </c>
      <c r="E123" s="4">
        <v>25627</v>
      </c>
      <c r="F123" t="s">
        <v>55</v>
      </c>
      <c r="G123" t="s">
        <v>76</v>
      </c>
      <c r="H123" s="2">
        <v>41479</v>
      </c>
      <c r="J123" t="s">
        <v>37</v>
      </c>
      <c r="K123" t="s">
        <v>52</v>
      </c>
      <c r="L123" t="s">
        <v>27</v>
      </c>
      <c r="M123">
        <v>3</v>
      </c>
      <c r="N123">
        <v>21</v>
      </c>
      <c r="O123">
        <v>9</v>
      </c>
      <c r="P123">
        <v>3</v>
      </c>
    </row>
    <row r="124" spans="1:16" x14ac:dyDescent="0.3">
      <c r="A124" t="s">
        <v>292</v>
      </c>
      <c r="B124" t="s">
        <v>293</v>
      </c>
      <c r="C124" t="s">
        <v>35</v>
      </c>
      <c r="D124">
        <v>26</v>
      </c>
      <c r="E124" s="4">
        <v>36271</v>
      </c>
      <c r="F124" t="s">
        <v>18</v>
      </c>
      <c r="G124" t="s">
        <v>19</v>
      </c>
      <c r="H124" s="2">
        <v>44749</v>
      </c>
      <c r="J124" t="s">
        <v>37</v>
      </c>
      <c r="K124" t="s">
        <v>71</v>
      </c>
      <c r="L124" t="s">
        <v>38</v>
      </c>
      <c r="M124">
        <v>5</v>
      </c>
      <c r="N124">
        <v>27</v>
      </c>
      <c r="O124">
        <v>2</v>
      </c>
      <c r="P124">
        <v>21</v>
      </c>
    </row>
    <row r="125" spans="1:16" x14ac:dyDescent="0.3">
      <c r="A125" t="s">
        <v>294</v>
      </c>
      <c r="B125" t="s">
        <v>295</v>
      </c>
      <c r="C125" t="s">
        <v>17</v>
      </c>
      <c r="D125">
        <v>31</v>
      </c>
      <c r="E125" s="4">
        <v>34448</v>
      </c>
      <c r="F125" t="s">
        <v>18</v>
      </c>
      <c r="G125" t="s">
        <v>46</v>
      </c>
      <c r="H125" s="2">
        <v>43389</v>
      </c>
      <c r="I125" s="3">
        <v>44840</v>
      </c>
      <c r="J125" t="s">
        <v>20</v>
      </c>
      <c r="K125" t="s">
        <v>71</v>
      </c>
      <c r="L125" t="s">
        <v>38</v>
      </c>
      <c r="M125">
        <v>4</v>
      </c>
      <c r="N125">
        <v>20</v>
      </c>
      <c r="O125">
        <v>5</v>
      </c>
      <c r="P125">
        <v>8</v>
      </c>
    </row>
    <row r="126" spans="1:16" x14ac:dyDescent="0.3">
      <c r="A126" t="s">
        <v>296</v>
      </c>
      <c r="B126" t="s">
        <v>297</v>
      </c>
      <c r="C126" t="s">
        <v>17</v>
      </c>
      <c r="D126">
        <v>49</v>
      </c>
      <c r="E126" s="4">
        <v>28030</v>
      </c>
      <c r="F126" t="s">
        <v>55</v>
      </c>
      <c r="G126" t="s">
        <v>56</v>
      </c>
      <c r="H126" s="2">
        <v>40328</v>
      </c>
      <c r="J126" t="s">
        <v>37</v>
      </c>
      <c r="K126" t="s">
        <v>43</v>
      </c>
      <c r="L126" t="s">
        <v>27</v>
      </c>
      <c r="M126">
        <v>4</v>
      </c>
      <c r="N126">
        <v>6</v>
      </c>
      <c r="O126">
        <v>3</v>
      </c>
      <c r="P126">
        <v>8</v>
      </c>
    </row>
    <row r="127" spans="1:16" x14ac:dyDescent="0.3">
      <c r="A127" t="s">
        <v>298</v>
      </c>
      <c r="B127" t="s">
        <v>299</v>
      </c>
      <c r="C127" t="s">
        <v>17</v>
      </c>
      <c r="D127">
        <v>26</v>
      </c>
      <c r="E127" s="4">
        <v>36353</v>
      </c>
      <c r="F127" t="s">
        <v>18</v>
      </c>
      <c r="G127" t="s">
        <v>19</v>
      </c>
      <c r="H127" s="2">
        <v>44337</v>
      </c>
      <c r="J127" t="s">
        <v>37</v>
      </c>
      <c r="K127" t="s">
        <v>32</v>
      </c>
      <c r="L127" t="s">
        <v>38</v>
      </c>
      <c r="M127">
        <v>3</v>
      </c>
      <c r="N127">
        <v>28</v>
      </c>
      <c r="O127">
        <v>9</v>
      </c>
      <c r="P127">
        <v>8</v>
      </c>
    </row>
    <row r="128" spans="1:16" x14ac:dyDescent="0.3">
      <c r="A128" t="s">
        <v>300</v>
      </c>
      <c r="B128" t="s">
        <v>301</v>
      </c>
      <c r="C128" t="s">
        <v>35</v>
      </c>
      <c r="D128">
        <v>31</v>
      </c>
      <c r="E128" s="4">
        <v>34532</v>
      </c>
      <c r="F128" t="s">
        <v>25</v>
      </c>
      <c r="G128" t="s">
        <v>106</v>
      </c>
      <c r="H128" s="2">
        <v>41535</v>
      </c>
      <c r="J128" t="s">
        <v>37</v>
      </c>
      <c r="K128" t="s">
        <v>52</v>
      </c>
      <c r="L128" t="s">
        <v>27</v>
      </c>
      <c r="M128">
        <v>2</v>
      </c>
      <c r="N128">
        <v>14</v>
      </c>
      <c r="O128">
        <v>9</v>
      </c>
      <c r="P128">
        <v>18</v>
      </c>
    </row>
    <row r="129" spans="1:16" x14ac:dyDescent="0.3">
      <c r="A129" t="s">
        <v>302</v>
      </c>
      <c r="B129" t="s">
        <v>303</v>
      </c>
      <c r="C129" t="s">
        <v>35</v>
      </c>
      <c r="D129">
        <v>36</v>
      </c>
      <c r="E129" s="4">
        <v>32514</v>
      </c>
      <c r="F129" t="s">
        <v>55</v>
      </c>
      <c r="G129" t="s">
        <v>64</v>
      </c>
      <c r="H129" s="2">
        <v>42714</v>
      </c>
      <c r="J129" t="s">
        <v>37</v>
      </c>
      <c r="K129" t="s">
        <v>43</v>
      </c>
      <c r="L129" t="s">
        <v>27</v>
      </c>
      <c r="M129">
        <v>5</v>
      </c>
      <c r="N129">
        <v>14</v>
      </c>
      <c r="O129">
        <v>7</v>
      </c>
      <c r="P129">
        <v>18</v>
      </c>
    </row>
    <row r="130" spans="1:16" x14ac:dyDescent="0.3">
      <c r="A130" t="s">
        <v>304</v>
      </c>
      <c r="B130" t="s">
        <v>305</v>
      </c>
      <c r="C130" t="s">
        <v>35</v>
      </c>
      <c r="D130">
        <v>54</v>
      </c>
      <c r="E130" s="4">
        <v>26178</v>
      </c>
      <c r="F130" t="s">
        <v>55</v>
      </c>
      <c r="G130" t="s">
        <v>56</v>
      </c>
      <c r="H130" s="2">
        <v>41506</v>
      </c>
      <c r="J130" t="s">
        <v>37</v>
      </c>
      <c r="K130" t="s">
        <v>43</v>
      </c>
      <c r="L130" t="s">
        <v>27</v>
      </c>
      <c r="M130">
        <v>1</v>
      </c>
      <c r="N130">
        <v>20</v>
      </c>
      <c r="O130">
        <v>7</v>
      </c>
      <c r="P130">
        <v>23</v>
      </c>
    </row>
    <row r="131" spans="1:16" x14ac:dyDescent="0.3">
      <c r="A131" t="s">
        <v>306</v>
      </c>
      <c r="B131" t="s">
        <v>307</v>
      </c>
      <c r="C131" t="s">
        <v>17</v>
      </c>
      <c r="D131">
        <v>55</v>
      </c>
      <c r="E131" s="4">
        <v>25650</v>
      </c>
      <c r="F131" t="s">
        <v>41</v>
      </c>
      <c r="G131" t="s">
        <v>61</v>
      </c>
      <c r="H131" s="2">
        <v>40866</v>
      </c>
      <c r="J131" t="s">
        <v>37</v>
      </c>
      <c r="K131" t="s">
        <v>52</v>
      </c>
      <c r="L131" t="s">
        <v>38</v>
      </c>
      <c r="M131">
        <v>2</v>
      </c>
      <c r="N131">
        <v>26</v>
      </c>
      <c r="O131">
        <v>6</v>
      </c>
      <c r="P131">
        <v>5</v>
      </c>
    </row>
    <row r="132" spans="1:16" x14ac:dyDescent="0.3">
      <c r="A132" t="s">
        <v>308</v>
      </c>
      <c r="B132" t="s">
        <v>309</v>
      </c>
      <c r="C132" t="s">
        <v>17</v>
      </c>
      <c r="D132">
        <v>50</v>
      </c>
      <c r="E132" s="4">
        <v>27506</v>
      </c>
      <c r="F132" t="s">
        <v>18</v>
      </c>
      <c r="G132" t="s">
        <v>19</v>
      </c>
      <c r="H132" s="2">
        <v>43577</v>
      </c>
      <c r="I132" s="3">
        <v>44605</v>
      </c>
      <c r="J132" t="s">
        <v>20</v>
      </c>
      <c r="K132" t="s">
        <v>43</v>
      </c>
      <c r="L132" t="s">
        <v>27</v>
      </c>
      <c r="M132">
        <v>1</v>
      </c>
      <c r="N132">
        <v>11</v>
      </c>
      <c r="O132">
        <v>3</v>
      </c>
      <c r="P132">
        <v>1</v>
      </c>
    </row>
    <row r="133" spans="1:16" x14ac:dyDescent="0.3">
      <c r="A133" t="s">
        <v>310</v>
      </c>
      <c r="B133" t="s">
        <v>311</v>
      </c>
      <c r="C133" t="s">
        <v>35</v>
      </c>
      <c r="D133">
        <v>28</v>
      </c>
      <c r="E133" s="4">
        <v>35516</v>
      </c>
      <c r="F133" t="s">
        <v>18</v>
      </c>
      <c r="G133" t="s">
        <v>19</v>
      </c>
      <c r="H133" s="2">
        <v>41306</v>
      </c>
      <c r="I133" s="3">
        <v>45063</v>
      </c>
      <c r="J133" t="s">
        <v>20</v>
      </c>
      <c r="K133" t="s">
        <v>43</v>
      </c>
      <c r="L133" t="s">
        <v>38</v>
      </c>
      <c r="M133">
        <v>4</v>
      </c>
      <c r="N133">
        <v>14</v>
      </c>
      <c r="O133">
        <v>9</v>
      </c>
      <c r="P133">
        <v>0</v>
      </c>
    </row>
    <row r="134" spans="1:16" x14ac:dyDescent="0.3">
      <c r="A134" t="s">
        <v>312</v>
      </c>
      <c r="B134" t="s">
        <v>313</v>
      </c>
      <c r="C134" t="s">
        <v>17</v>
      </c>
      <c r="D134">
        <v>23</v>
      </c>
      <c r="E134" s="4">
        <v>37495</v>
      </c>
      <c r="F134" t="s">
        <v>18</v>
      </c>
      <c r="G134" t="s">
        <v>19</v>
      </c>
      <c r="H134" s="2">
        <v>41403</v>
      </c>
      <c r="J134" t="s">
        <v>37</v>
      </c>
      <c r="K134" t="s">
        <v>21</v>
      </c>
      <c r="L134" t="s">
        <v>27</v>
      </c>
      <c r="M134">
        <v>1</v>
      </c>
      <c r="N134">
        <v>24</v>
      </c>
      <c r="O134">
        <v>4</v>
      </c>
      <c r="P134">
        <v>15</v>
      </c>
    </row>
    <row r="135" spans="1:16" x14ac:dyDescent="0.3">
      <c r="A135" t="s">
        <v>314</v>
      </c>
      <c r="B135" t="s">
        <v>315</v>
      </c>
      <c r="C135" t="s">
        <v>35</v>
      </c>
      <c r="D135">
        <v>29</v>
      </c>
      <c r="E135" s="4">
        <v>35088</v>
      </c>
      <c r="F135" t="s">
        <v>41</v>
      </c>
      <c r="G135" t="s">
        <v>83</v>
      </c>
      <c r="H135" s="2">
        <v>43618</v>
      </c>
      <c r="J135" t="s">
        <v>37</v>
      </c>
      <c r="K135" t="s">
        <v>52</v>
      </c>
      <c r="L135" t="s">
        <v>22</v>
      </c>
      <c r="M135">
        <v>1</v>
      </c>
      <c r="N135">
        <v>26</v>
      </c>
      <c r="O135">
        <v>7</v>
      </c>
      <c r="P135">
        <v>38</v>
      </c>
    </row>
    <row r="136" spans="1:16" x14ac:dyDescent="0.3">
      <c r="A136" t="s">
        <v>316</v>
      </c>
      <c r="B136" t="s">
        <v>317</v>
      </c>
      <c r="C136" t="s">
        <v>17</v>
      </c>
      <c r="D136">
        <v>54</v>
      </c>
      <c r="E136" s="4">
        <v>26165</v>
      </c>
      <c r="F136" t="s">
        <v>55</v>
      </c>
      <c r="G136" t="s">
        <v>64</v>
      </c>
      <c r="H136" s="2">
        <v>41355</v>
      </c>
      <c r="J136" t="s">
        <v>37</v>
      </c>
      <c r="K136" t="s">
        <v>21</v>
      </c>
      <c r="L136" t="s">
        <v>27</v>
      </c>
      <c r="M136">
        <v>2</v>
      </c>
      <c r="N136">
        <v>18</v>
      </c>
      <c r="O136">
        <v>6</v>
      </c>
      <c r="P136">
        <v>11</v>
      </c>
    </row>
    <row r="137" spans="1:16" x14ac:dyDescent="0.3">
      <c r="A137" t="s">
        <v>318</v>
      </c>
      <c r="B137" t="s">
        <v>319</v>
      </c>
      <c r="C137" t="s">
        <v>17</v>
      </c>
      <c r="D137">
        <v>55</v>
      </c>
      <c r="E137" s="4">
        <v>25628</v>
      </c>
      <c r="F137" t="s">
        <v>18</v>
      </c>
      <c r="G137" t="s">
        <v>19</v>
      </c>
      <c r="H137" s="2">
        <v>44488</v>
      </c>
      <c r="J137" t="s">
        <v>37</v>
      </c>
      <c r="K137" t="s">
        <v>21</v>
      </c>
      <c r="L137" t="s">
        <v>22</v>
      </c>
      <c r="M137">
        <v>4</v>
      </c>
      <c r="N137">
        <v>27</v>
      </c>
      <c r="O137">
        <v>7</v>
      </c>
      <c r="P137">
        <v>2</v>
      </c>
    </row>
    <row r="138" spans="1:16" x14ac:dyDescent="0.3">
      <c r="A138" t="s">
        <v>320</v>
      </c>
      <c r="B138" t="s">
        <v>321</v>
      </c>
      <c r="C138" t="s">
        <v>35</v>
      </c>
      <c r="D138">
        <v>45</v>
      </c>
      <c r="E138" s="4">
        <v>29457</v>
      </c>
      <c r="F138" t="s">
        <v>18</v>
      </c>
      <c r="G138" t="s">
        <v>49</v>
      </c>
      <c r="H138" s="2">
        <v>40312</v>
      </c>
      <c r="J138" t="s">
        <v>37</v>
      </c>
      <c r="K138" t="s">
        <v>71</v>
      </c>
      <c r="L138" t="s">
        <v>22</v>
      </c>
      <c r="M138">
        <v>1</v>
      </c>
      <c r="N138">
        <v>24</v>
      </c>
      <c r="O138">
        <v>9</v>
      </c>
      <c r="P138">
        <v>21</v>
      </c>
    </row>
    <row r="139" spans="1:16" x14ac:dyDescent="0.3">
      <c r="A139" t="s">
        <v>322</v>
      </c>
      <c r="B139" t="s">
        <v>323</v>
      </c>
      <c r="C139" t="s">
        <v>17</v>
      </c>
      <c r="D139">
        <v>24</v>
      </c>
      <c r="E139" s="4">
        <v>37048</v>
      </c>
      <c r="F139" t="s">
        <v>18</v>
      </c>
      <c r="G139" t="s">
        <v>49</v>
      </c>
      <c r="H139" s="2">
        <v>42952</v>
      </c>
      <c r="J139" t="s">
        <v>37</v>
      </c>
      <c r="K139" t="s">
        <v>52</v>
      </c>
      <c r="L139" t="s">
        <v>38</v>
      </c>
      <c r="M139">
        <v>4</v>
      </c>
      <c r="N139">
        <v>20</v>
      </c>
      <c r="O139">
        <v>2</v>
      </c>
      <c r="P139">
        <v>8</v>
      </c>
    </row>
    <row r="140" spans="1:16" x14ac:dyDescent="0.3">
      <c r="A140" t="s">
        <v>324</v>
      </c>
      <c r="B140" t="s">
        <v>325</v>
      </c>
      <c r="C140" t="s">
        <v>17</v>
      </c>
      <c r="D140">
        <v>51</v>
      </c>
      <c r="E140" s="4">
        <v>27136</v>
      </c>
      <c r="F140" t="s">
        <v>41</v>
      </c>
      <c r="G140" t="s">
        <v>61</v>
      </c>
      <c r="H140" s="2">
        <v>41830</v>
      </c>
      <c r="I140" s="3">
        <v>42647</v>
      </c>
      <c r="J140" t="s">
        <v>20</v>
      </c>
      <c r="K140" t="s">
        <v>71</v>
      </c>
      <c r="L140" t="s">
        <v>27</v>
      </c>
      <c r="M140">
        <v>5</v>
      </c>
      <c r="N140">
        <v>12</v>
      </c>
      <c r="O140">
        <v>8</v>
      </c>
      <c r="P140">
        <v>30</v>
      </c>
    </row>
    <row r="141" spans="1:16" x14ac:dyDescent="0.3">
      <c r="A141" t="s">
        <v>326</v>
      </c>
      <c r="B141" t="s">
        <v>327</v>
      </c>
      <c r="C141" t="s">
        <v>35</v>
      </c>
      <c r="D141">
        <v>24</v>
      </c>
      <c r="E141" s="4">
        <v>37035</v>
      </c>
      <c r="F141" t="s">
        <v>25</v>
      </c>
      <c r="G141" t="s">
        <v>97</v>
      </c>
      <c r="H141" s="2">
        <v>43103</v>
      </c>
      <c r="J141" t="s">
        <v>37</v>
      </c>
      <c r="K141" t="s">
        <v>71</v>
      </c>
      <c r="L141" t="s">
        <v>27</v>
      </c>
      <c r="M141">
        <v>1</v>
      </c>
      <c r="N141">
        <v>25</v>
      </c>
      <c r="O141">
        <v>5</v>
      </c>
      <c r="P141">
        <v>27</v>
      </c>
    </row>
    <row r="142" spans="1:16" x14ac:dyDescent="0.3">
      <c r="A142" t="s">
        <v>328</v>
      </c>
      <c r="B142" t="s">
        <v>329</v>
      </c>
      <c r="C142" t="s">
        <v>35</v>
      </c>
      <c r="D142">
        <v>50</v>
      </c>
      <c r="E142" s="4">
        <v>27444</v>
      </c>
      <c r="F142" t="s">
        <v>30</v>
      </c>
      <c r="G142" t="s">
        <v>31</v>
      </c>
      <c r="H142" s="2">
        <v>41709</v>
      </c>
      <c r="J142" t="s">
        <v>37</v>
      </c>
      <c r="K142" t="s">
        <v>71</v>
      </c>
      <c r="L142" t="s">
        <v>38</v>
      </c>
      <c r="M142">
        <v>3</v>
      </c>
      <c r="N142">
        <v>25</v>
      </c>
      <c r="O142">
        <v>1</v>
      </c>
      <c r="P142">
        <v>27</v>
      </c>
    </row>
    <row r="143" spans="1:16" x14ac:dyDescent="0.3">
      <c r="A143" t="s">
        <v>330</v>
      </c>
      <c r="B143" t="s">
        <v>331</v>
      </c>
      <c r="C143" t="s">
        <v>17</v>
      </c>
      <c r="D143">
        <v>49</v>
      </c>
      <c r="E143" s="4">
        <v>27861</v>
      </c>
      <c r="F143" t="s">
        <v>55</v>
      </c>
      <c r="G143" t="s">
        <v>64</v>
      </c>
      <c r="H143" s="2">
        <v>44647</v>
      </c>
      <c r="J143" t="s">
        <v>37</v>
      </c>
      <c r="K143" t="s">
        <v>32</v>
      </c>
      <c r="L143" t="s">
        <v>27</v>
      </c>
      <c r="M143">
        <v>3</v>
      </c>
      <c r="N143">
        <v>9</v>
      </c>
      <c r="O143">
        <v>7</v>
      </c>
      <c r="P143">
        <v>38</v>
      </c>
    </row>
    <row r="144" spans="1:16" x14ac:dyDescent="0.3">
      <c r="A144" t="s">
        <v>332</v>
      </c>
      <c r="B144" t="s">
        <v>333</v>
      </c>
      <c r="C144" t="s">
        <v>35</v>
      </c>
      <c r="D144">
        <v>32</v>
      </c>
      <c r="E144" s="4">
        <v>34224</v>
      </c>
      <c r="F144" t="s">
        <v>30</v>
      </c>
      <c r="G144" t="s">
        <v>31</v>
      </c>
      <c r="H144" s="2">
        <v>43841</v>
      </c>
      <c r="I144" s="3">
        <v>44563</v>
      </c>
      <c r="J144" t="s">
        <v>20</v>
      </c>
      <c r="K144" t="s">
        <v>52</v>
      </c>
      <c r="L144" t="s">
        <v>27</v>
      </c>
      <c r="M144">
        <v>1</v>
      </c>
      <c r="N144">
        <v>2</v>
      </c>
      <c r="O144">
        <v>10</v>
      </c>
      <c r="P144">
        <v>40</v>
      </c>
    </row>
    <row r="145" spans="1:16" x14ac:dyDescent="0.3">
      <c r="A145" t="s">
        <v>334</v>
      </c>
      <c r="B145" t="s">
        <v>335</v>
      </c>
      <c r="C145" t="s">
        <v>35</v>
      </c>
      <c r="D145">
        <v>45</v>
      </c>
      <c r="E145" s="4">
        <v>29225</v>
      </c>
      <c r="F145" t="s">
        <v>55</v>
      </c>
      <c r="G145" t="s">
        <v>76</v>
      </c>
      <c r="H145" s="2">
        <v>41489</v>
      </c>
      <c r="J145" t="s">
        <v>37</v>
      </c>
      <c r="K145" t="s">
        <v>21</v>
      </c>
      <c r="L145" t="s">
        <v>38</v>
      </c>
      <c r="M145">
        <v>4</v>
      </c>
      <c r="N145">
        <v>1</v>
      </c>
      <c r="O145">
        <v>2</v>
      </c>
      <c r="P145">
        <v>4</v>
      </c>
    </row>
    <row r="146" spans="1:16" x14ac:dyDescent="0.3">
      <c r="A146" t="s">
        <v>336</v>
      </c>
      <c r="B146" t="s">
        <v>337</v>
      </c>
      <c r="C146" t="s">
        <v>17</v>
      </c>
      <c r="D146">
        <v>45</v>
      </c>
      <c r="E146" s="4">
        <v>29278</v>
      </c>
      <c r="F146" t="s">
        <v>18</v>
      </c>
      <c r="G146" t="s">
        <v>46</v>
      </c>
      <c r="H146" s="2">
        <v>44825</v>
      </c>
      <c r="I146" s="3">
        <v>44903</v>
      </c>
      <c r="J146" t="s">
        <v>20</v>
      </c>
      <c r="K146" t="s">
        <v>52</v>
      </c>
      <c r="L146" t="s">
        <v>27</v>
      </c>
      <c r="M146">
        <v>3</v>
      </c>
      <c r="N146">
        <v>14</v>
      </c>
      <c r="O146">
        <v>1</v>
      </c>
      <c r="P146">
        <v>36</v>
      </c>
    </row>
    <row r="147" spans="1:16" x14ac:dyDescent="0.3">
      <c r="A147" t="s">
        <v>338</v>
      </c>
      <c r="B147" t="s">
        <v>339</v>
      </c>
      <c r="C147" t="s">
        <v>17</v>
      </c>
      <c r="D147">
        <v>55</v>
      </c>
      <c r="E147" s="4">
        <v>25743</v>
      </c>
      <c r="F147" t="s">
        <v>18</v>
      </c>
      <c r="G147" t="s">
        <v>46</v>
      </c>
      <c r="H147" s="2">
        <v>42754</v>
      </c>
      <c r="J147" t="s">
        <v>37</v>
      </c>
      <c r="K147" t="s">
        <v>32</v>
      </c>
      <c r="L147" t="s">
        <v>22</v>
      </c>
      <c r="M147">
        <v>2</v>
      </c>
      <c r="N147">
        <v>15</v>
      </c>
      <c r="O147">
        <v>8</v>
      </c>
      <c r="P147">
        <v>24</v>
      </c>
    </row>
    <row r="148" spans="1:16" x14ac:dyDescent="0.3">
      <c r="A148" t="s">
        <v>340</v>
      </c>
      <c r="B148" t="s">
        <v>341</v>
      </c>
      <c r="C148" t="s">
        <v>17</v>
      </c>
      <c r="D148">
        <v>38</v>
      </c>
      <c r="E148" s="4">
        <v>31899</v>
      </c>
      <c r="F148" t="s">
        <v>18</v>
      </c>
      <c r="G148" t="s">
        <v>49</v>
      </c>
      <c r="H148" s="2">
        <v>43834</v>
      </c>
      <c r="J148" t="s">
        <v>37</v>
      </c>
      <c r="K148" t="s">
        <v>71</v>
      </c>
      <c r="L148" t="s">
        <v>38</v>
      </c>
      <c r="M148">
        <v>4</v>
      </c>
      <c r="N148">
        <v>6</v>
      </c>
      <c r="O148">
        <v>1</v>
      </c>
      <c r="P148">
        <v>8</v>
      </c>
    </row>
    <row r="149" spans="1:16" x14ac:dyDescent="0.3">
      <c r="A149" t="s">
        <v>342</v>
      </c>
      <c r="B149" t="s">
        <v>343</v>
      </c>
      <c r="C149" t="s">
        <v>17</v>
      </c>
      <c r="D149">
        <v>50</v>
      </c>
      <c r="E149" s="4">
        <v>27458</v>
      </c>
      <c r="F149" t="s">
        <v>25</v>
      </c>
      <c r="G149" t="s">
        <v>26</v>
      </c>
      <c r="H149" s="2">
        <v>43825</v>
      </c>
      <c r="J149" t="s">
        <v>37</v>
      </c>
      <c r="K149" t="s">
        <v>71</v>
      </c>
      <c r="L149" t="s">
        <v>38</v>
      </c>
      <c r="M149">
        <v>3</v>
      </c>
      <c r="N149">
        <v>22</v>
      </c>
      <c r="O149">
        <v>1</v>
      </c>
      <c r="P149">
        <v>35</v>
      </c>
    </row>
    <row r="150" spans="1:16" x14ac:dyDescent="0.3">
      <c r="A150" t="s">
        <v>344</v>
      </c>
      <c r="B150" t="s">
        <v>345</v>
      </c>
      <c r="C150" t="s">
        <v>35</v>
      </c>
      <c r="D150">
        <v>41</v>
      </c>
      <c r="E150" s="4">
        <v>30868</v>
      </c>
      <c r="F150" t="s">
        <v>25</v>
      </c>
      <c r="G150" t="s">
        <v>26</v>
      </c>
      <c r="H150" s="2">
        <v>41605</v>
      </c>
      <c r="J150" t="s">
        <v>37</v>
      </c>
      <c r="K150" t="s">
        <v>43</v>
      </c>
      <c r="L150" t="s">
        <v>22</v>
      </c>
      <c r="M150">
        <v>2</v>
      </c>
      <c r="N150">
        <v>25</v>
      </c>
      <c r="O150">
        <v>2</v>
      </c>
      <c r="P150">
        <v>15</v>
      </c>
    </row>
    <row r="151" spans="1:16" x14ac:dyDescent="0.3">
      <c r="A151" t="s">
        <v>346</v>
      </c>
      <c r="B151" t="s">
        <v>347</v>
      </c>
      <c r="C151" t="s">
        <v>35</v>
      </c>
      <c r="D151">
        <v>23</v>
      </c>
      <c r="E151" s="4">
        <v>37305</v>
      </c>
      <c r="F151" t="s">
        <v>18</v>
      </c>
      <c r="G151" t="s">
        <v>49</v>
      </c>
      <c r="H151" s="2">
        <v>44867</v>
      </c>
      <c r="J151" t="s">
        <v>37</v>
      </c>
      <c r="K151" t="s">
        <v>43</v>
      </c>
      <c r="L151" t="s">
        <v>38</v>
      </c>
      <c r="M151">
        <v>1</v>
      </c>
      <c r="N151">
        <v>2</v>
      </c>
      <c r="O151">
        <v>4</v>
      </c>
      <c r="P151">
        <v>25</v>
      </c>
    </row>
    <row r="152" spans="1:16" x14ac:dyDescent="0.3">
      <c r="A152" t="s">
        <v>348</v>
      </c>
      <c r="B152" t="s">
        <v>349</v>
      </c>
      <c r="C152" t="s">
        <v>35</v>
      </c>
      <c r="D152">
        <v>55</v>
      </c>
      <c r="E152" s="4">
        <v>25776</v>
      </c>
      <c r="F152" t="s">
        <v>30</v>
      </c>
      <c r="G152" t="s">
        <v>31</v>
      </c>
      <c r="H152" s="2">
        <v>44888</v>
      </c>
      <c r="I152" s="3">
        <v>45050</v>
      </c>
      <c r="J152" t="s">
        <v>20</v>
      </c>
      <c r="K152" t="s">
        <v>32</v>
      </c>
      <c r="L152" t="s">
        <v>27</v>
      </c>
      <c r="M152">
        <v>4</v>
      </c>
      <c r="N152">
        <v>21</v>
      </c>
      <c r="O152">
        <v>8</v>
      </c>
      <c r="P152">
        <v>22</v>
      </c>
    </row>
    <row r="153" spans="1:16" x14ac:dyDescent="0.3">
      <c r="A153" t="s">
        <v>350</v>
      </c>
      <c r="B153" t="s">
        <v>351</v>
      </c>
      <c r="C153" t="s">
        <v>17</v>
      </c>
      <c r="D153">
        <v>33</v>
      </c>
      <c r="E153" s="4">
        <v>33802</v>
      </c>
      <c r="F153" t="s">
        <v>25</v>
      </c>
      <c r="G153" t="s">
        <v>97</v>
      </c>
      <c r="H153" s="2">
        <v>44298</v>
      </c>
      <c r="J153" t="s">
        <v>37</v>
      </c>
      <c r="K153" t="s">
        <v>32</v>
      </c>
      <c r="L153" t="s">
        <v>38</v>
      </c>
      <c r="M153">
        <v>2</v>
      </c>
      <c r="N153">
        <v>9</v>
      </c>
      <c r="O153">
        <v>2</v>
      </c>
      <c r="P153">
        <v>10</v>
      </c>
    </row>
    <row r="154" spans="1:16" x14ac:dyDescent="0.3">
      <c r="A154" t="s">
        <v>352</v>
      </c>
      <c r="B154" t="s">
        <v>353</v>
      </c>
      <c r="C154" t="s">
        <v>35</v>
      </c>
      <c r="D154">
        <v>36</v>
      </c>
      <c r="E154" s="4">
        <v>32680</v>
      </c>
      <c r="F154" t="s">
        <v>18</v>
      </c>
      <c r="G154" t="s">
        <v>49</v>
      </c>
      <c r="H154" s="2">
        <v>42505</v>
      </c>
      <c r="J154" t="s">
        <v>37</v>
      </c>
      <c r="K154" t="s">
        <v>43</v>
      </c>
      <c r="L154" t="s">
        <v>38</v>
      </c>
      <c r="M154">
        <v>5</v>
      </c>
      <c r="N154">
        <v>8</v>
      </c>
      <c r="O154">
        <v>2</v>
      </c>
      <c r="P154">
        <v>40</v>
      </c>
    </row>
    <row r="155" spans="1:16" x14ac:dyDescent="0.3">
      <c r="A155" t="s">
        <v>354</v>
      </c>
      <c r="B155" t="s">
        <v>355</v>
      </c>
      <c r="C155" t="s">
        <v>35</v>
      </c>
      <c r="D155">
        <v>27</v>
      </c>
      <c r="E155" s="4">
        <v>36032</v>
      </c>
      <c r="F155" t="s">
        <v>55</v>
      </c>
      <c r="G155" t="s">
        <v>76</v>
      </c>
      <c r="H155" s="2">
        <v>41560</v>
      </c>
      <c r="J155" t="s">
        <v>37</v>
      </c>
      <c r="K155" t="s">
        <v>43</v>
      </c>
      <c r="L155" t="s">
        <v>22</v>
      </c>
      <c r="M155">
        <v>5</v>
      </c>
      <c r="N155">
        <v>23</v>
      </c>
      <c r="O155">
        <v>9</v>
      </c>
      <c r="P155">
        <v>21</v>
      </c>
    </row>
    <row r="156" spans="1:16" x14ac:dyDescent="0.3">
      <c r="A156" t="s">
        <v>356</v>
      </c>
      <c r="B156" t="s">
        <v>357</v>
      </c>
      <c r="C156" t="s">
        <v>17</v>
      </c>
      <c r="D156">
        <v>23</v>
      </c>
      <c r="E156" s="4">
        <v>37569</v>
      </c>
      <c r="F156" t="s">
        <v>41</v>
      </c>
      <c r="G156" t="s">
        <v>42</v>
      </c>
      <c r="H156" s="2">
        <v>44903</v>
      </c>
      <c r="J156" t="s">
        <v>37</v>
      </c>
      <c r="K156" t="s">
        <v>21</v>
      </c>
      <c r="L156" t="s">
        <v>27</v>
      </c>
      <c r="M156">
        <v>5</v>
      </c>
      <c r="N156">
        <v>20</v>
      </c>
      <c r="O156">
        <v>0</v>
      </c>
      <c r="P156">
        <v>31</v>
      </c>
    </row>
    <row r="157" spans="1:16" x14ac:dyDescent="0.3">
      <c r="A157" t="s">
        <v>358</v>
      </c>
      <c r="B157" t="s">
        <v>359</v>
      </c>
      <c r="C157" t="s">
        <v>35</v>
      </c>
      <c r="D157">
        <v>41</v>
      </c>
      <c r="E157" s="4">
        <v>30994</v>
      </c>
      <c r="F157" t="s">
        <v>30</v>
      </c>
      <c r="G157" t="s">
        <v>90</v>
      </c>
      <c r="H157" s="2">
        <v>43505</v>
      </c>
      <c r="J157" t="s">
        <v>37</v>
      </c>
      <c r="K157" t="s">
        <v>32</v>
      </c>
      <c r="L157" t="s">
        <v>22</v>
      </c>
      <c r="M157">
        <v>4</v>
      </c>
      <c r="N157">
        <v>13</v>
      </c>
      <c r="O157">
        <v>7</v>
      </c>
      <c r="P157">
        <v>29</v>
      </c>
    </row>
    <row r="158" spans="1:16" x14ac:dyDescent="0.3">
      <c r="A158" t="s">
        <v>360</v>
      </c>
      <c r="B158" t="s">
        <v>361</v>
      </c>
      <c r="C158" t="s">
        <v>17</v>
      </c>
      <c r="D158">
        <v>43</v>
      </c>
      <c r="E158" s="4">
        <v>30260</v>
      </c>
      <c r="F158" t="s">
        <v>55</v>
      </c>
      <c r="G158" t="s">
        <v>64</v>
      </c>
      <c r="H158" s="2">
        <v>42739</v>
      </c>
      <c r="J158" t="s">
        <v>37</v>
      </c>
      <c r="K158" t="s">
        <v>71</v>
      </c>
      <c r="L158" t="s">
        <v>27</v>
      </c>
      <c r="M158">
        <v>2</v>
      </c>
      <c r="N158">
        <v>24</v>
      </c>
      <c r="O158">
        <v>5</v>
      </c>
      <c r="P158">
        <v>32</v>
      </c>
    </row>
    <row r="159" spans="1:16" x14ac:dyDescent="0.3">
      <c r="A159" t="s">
        <v>362</v>
      </c>
      <c r="B159" t="s">
        <v>363</v>
      </c>
      <c r="C159" t="s">
        <v>17</v>
      </c>
      <c r="D159">
        <v>42</v>
      </c>
      <c r="E159" s="4">
        <v>30459</v>
      </c>
      <c r="F159" t="s">
        <v>25</v>
      </c>
      <c r="G159" t="s">
        <v>97</v>
      </c>
      <c r="H159" s="2">
        <v>41182</v>
      </c>
      <c r="J159" t="s">
        <v>37</v>
      </c>
      <c r="K159" t="s">
        <v>43</v>
      </c>
      <c r="L159" t="s">
        <v>22</v>
      </c>
      <c r="M159">
        <v>1</v>
      </c>
      <c r="N159">
        <v>9</v>
      </c>
      <c r="O159">
        <v>6</v>
      </c>
      <c r="P159">
        <v>39</v>
      </c>
    </row>
    <row r="160" spans="1:16" x14ac:dyDescent="0.3">
      <c r="A160" t="s">
        <v>364</v>
      </c>
      <c r="B160" t="s">
        <v>365</v>
      </c>
      <c r="C160" t="s">
        <v>35</v>
      </c>
      <c r="D160">
        <v>37</v>
      </c>
      <c r="E160" s="4">
        <v>32398</v>
      </c>
      <c r="F160" t="s">
        <v>25</v>
      </c>
      <c r="G160" t="s">
        <v>97</v>
      </c>
      <c r="H160" s="2">
        <v>44911</v>
      </c>
      <c r="J160" t="s">
        <v>37</v>
      </c>
      <c r="K160" t="s">
        <v>43</v>
      </c>
      <c r="L160" t="s">
        <v>27</v>
      </c>
      <c r="M160">
        <v>5</v>
      </c>
      <c r="N160">
        <v>14</v>
      </c>
      <c r="O160">
        <v>7</v>
      </c>
      <c r="P160">
        <v>19</v>
      </c>
    </row>
    <row r="161" spans="1:16" x14ac:dyDescent="0.3">
      <c r="A161" t="s">
        <v>366</v>
      </c>
      <c r="B161" t="s">
        <v>367</v>
      </c>
      <c r="C161" t="s">
        <v>35</v>
      </c>
      <c r="D161">
        <v>23</v>
      </c>
      <c r="E161" s="4">
        <v>37567</v>
      </c>
      <c r="F161" t="s">
        <v>41</v>
      </c>
      <c r="G161" t="s">
        <v>111</v>
      </c>
      <c r="H161" s="2">
        <v>44319</v>
      </c>
      <c r="J161" t="s">
        <v>37</v>
      </c>
      <c r="K161" t="s">
        <v>43</v>
      </c>
      <c r="L161" t="s">
        <v>38</v>
      </c>
      <c r="M161">
        <v>3</v>
      </c>
      <c r="N161">
        <v>1</v>
      </c>
      <c r="O161">
        <v>0</v>
      </c>
      <c r="P161">
        <v>18</v>
      </c>
    </row>
    <row r="162" spans="1:16" x14ac:dyDescent="0.3">
      <c r="A162" t="s">
        <v>368</v>
      </c>
      <c r="B162" t="s">
        <v>369</v>
      </c>
      <c r="C162" t="s">
        <v>35</v>
      </c>
      <c r="D162">
        <v>52</v>
      </c>
      <c r="E162" s="4">
        <v>26749</v>
      </c>
      <c r="F162" t="s">
        <v>18</v>
      </c>
      <c r="G162" t="s">
        <v>49</v>
      </c>
      <c r="H162" s="2">
        <v>40245</v>
      </c>
      <c r="J162" t="s">
        <v>37</v>
      </c>
      <c r="K162" t="s">
        <v>43</v>
      </c>
      <c r="L162" t="s">
        <v>27</v>
      </c>
      <c r="M162">
        <v>3</v>
      </c>
      <c r="N162">
        <v>24</v>
      </c>
      <c r="O162">
        <v>6</v>
      </c>
      <c r="P162">
        <v>23</v>
      </c>
    </row>
    <row r="163" spans="1:16" x14ac:dyDescent="0.3">
      <c r="A163" t="s">
        <v>370</v>
      </c>
      <c r="B163" t="s">
        <v>371</v>
      </c>
      <c r="C163" t="s">
        <v>17</v>
      </c>
      <c r="D163">
        <v>47</v>
      </c>
      <c r="E163" s="4">
        <v>28620</v>
      </c>
      <c r="F163" t="s">
        <v>41</v>
      </c>
      <c r="G163" t="s">
        <v>83</v>
      </c>
      <c r="H163" s="2">
        <v>43148</v>
      </c>
      <c r="J163" t="s">
        <v>37</v>
      </c>
      <c r="K163" t="s">
        <v>52</v>
      </c>
      <c r="L163" t="s">
        <v>38</v>
      </c>
      <c r="M163">
        <v>4</v>
      </c>
      <c r="N163">
        <v>24</v>
      </c>
      <c r="O163">
        <v>8</v>
      </c>
      <c r="P163">
        <v>17</v>
      </c>
    </row>
    <row r="164" spans="1:16" x14ac:dyDescent="0.3">
      <c r="A164" t="s">
        <v>372</v>
      </c>
      <c r="B164" t="s">
        <v>373</v>
      </c>
      <c r="C164" t="s">
        <v>17</v>
      </c>
      <c r="D164">
        <v>30</v>
      </c>
      <c r="E164" s="4">
        <v>34997</v>
      </c>
      <c r="F164" t="s">
        <v>41</v>
      </c>
      <c r="G164" t="s">
        <v>111</v>
      </c>
      <c r="H164" s="2">
        <v>43236</v>
      </c>
      <c r="J164" t="s">
        <v>37</v>
      </c>
      <c r="K164" t="s">
        <v>21</v>
      </c>
      <c r="L164" t="s">
        <v>27</v>
      </c>
      <c r="M164">
        <v>2</v>
      </c>
      <c r="N164">
        <v>6</v>
      </c>
      <c r="O164">
        <v>9</v>
      </c>
      <c r="P164">
        <v>32</v>
      </c>
    </row>
    <row r="165" spans="1:16" x14ac:dyDescent="0.3">
      <c r="A165" t="s">
        <v>374</v>
      </c>
      <c r="B165" t="s">
        <v>375</v>
      </c>
      <c r="C165" t="s">
        <v>35</v>
      </c>
      <c r="D165">
        <v>54</v>
      </c>
      <c r="E165" s="4">
        <v>26184</v>
      </c>
      <c r="F165" t="s">
        <v>41</v>
      </c>
      <c r="G165" t="s">
        <v>42</v>
      </c>
      <c r="H165" s="2">
        <v>40497</v>
      </c>
      <c r="I165" s="3">
        <v>43225</v>
      </c>
      <c r="J165" t="s">
        <v>20</v>
      </c>
      <c r="K165" t="s">
        <v>21</v>
      </c>
      <c r="L165" t="s">
        <v>27</v>
      </c>
      <c r="M165">
        <v>2</v>
      </c>
      <c r="N165">
        <v>19</v>
      </c>
      <c r="O165">
        <v>8</v>
      </c>
      <c r="P165">
        <v>8</v>
      </c>
    </row>
    <row r="166" spans="1:16" x14ac:dyDescent="0.3">
      <c r="A166" t="s">
        <v>376</v>
      </c>
      <c r="B166" t="s">
        <v>377</v>
      </c>
      <c r="C166" t="s">
        <v>35</v>
      </c>
      <c r="D166">
        <v>42</v>
      </c>
      <c r="E166" s="4">
        <v>30580</v>
      </c>
      <c r="F166" t="s">
        <v>25</v>
      </c>
      <c r="G166" t="s">
        <v>97</v>
      </c>
      <c r="H166" s="2">
        <v>45229</v>
      </c>
      <c r="J166" t="s">
        <v>37</v>
      </c>
      <c r="K166" t="s">
        <v>21</v>
      </c>
      <c r="L166" t="s">
        <v>27</v>
      </c>
      <c r="M166">
        <v>5</v>
      </c>
      <c r="N166">
        <v>26</v>
      </c>
      <c r="O166">
        <v>8</v>
      </c>
      <c r="P166">
        <v>34</v>
      </c>
    </row>
    <row r="167" spans="1:16" x14ac:dyDescent="0.3">
      <c r="A167" t="s">
        <v>378</v>
      </c>
      <c r="B167" t="s">
        <v>379</v>
      </c>
      <c r="C167" t="s">
        <v>35</v>
      </c>
      <c r="D167">
        <v>41</v>
      </c>
      <c r="E167" s="4">
        <v>30903</v>
      </c>
      <c r="F167" t="s">
        <v>30</v>
      </c>
      <c r="G167" t="s">
        <v>90</v>
      </c>
      <c r="H167" s="2">
        <v>43196</v>
      </c>
      <c r="J167" t="s">
        <v>37</v>
      </c>
      <c r="K167" t="s">
        <v>52</v>
      </c>
      <c r="L167" t="s">
        <v>38</v>
      </c>
      <c r="M167">
        <v>3</v>
      </c>
      <c r="N167">
        <v>25</v>
      </c>
      <c r="O167">
        <v>10</v>
      </c>
      <c r="P167">
        <v>1</v>
      </c>
    </row>
    <row r="168" spans="1:16" x14ac:dyDescent="0.3">
      <c r="A168" t="s">
        <v>380</v>
      </c>
      <c r="B168" t="s">
        <v>381</v>
      </c>
      <c r="C168" t="s">
        <v>35</v>
      </c>
      <c r="D168">
        <v>38</v>
      </c>
      <c r="E168" s="4">
        <v>32101</v>
      </c>
      <c r="F168" t="s">
        <v>55</v>
      </c>
      <c r="G168" t="s">
        <v>76</v>
      </c>
      <c r="H168" s="2">
        <v>42043</v>
      </c>
      <c r="J168" t="s">
        <v>37</v>
      </c>
      <c r="K168" t="s">
        <v>52</v>
      </c>
      <c r="L168" t="s">
        <v>22</v>
      </c>
      <c r="M168">
        <v>5</v>
      </c>
      <c r="N168">
        <v>20</v>
      </c>
      <c r="O168">
        <v>9</v>
      </c>
      <c r="P168">
        <v>24</v>
      </c>
    </row>
    <row r="169" spans="1:16" x14ac:dyDescent="0.3">
      <c r="A169" t="s">
        <v>382</v>
      </c>
      <c r="B169" t="s">
        <v>383</v>
      </c>
      <c r="C169" t="s">
        <v>17</v>
      </c>
      <c r="D169">
        <v>37</v>
      </c>
      <c r="E169" s="4">
        <v>32393</v>
      </c>
      <c r="F169" t="s">
        <v>41</v>
      </c>
      <c r="G169" t="s">
        <v>42</v>
      </c>
      <c r="H169" s="2">
        <v>41741</v>
      </c>
      <c r="I169" s="3">
        <v>43025</v>
      </c>
      <c r="J169" t="s">
        <v>20</v>
      </c>
      <c r="K169" t="s">
        <v>43</v>
      </c>
      <c r="L169" t="s">
        <v>27</v>
      </c>
      <c r="M169">
        <v>2</v>
      </c>
      <c r="N169">
        <v>13</v>
      </c>
      <c r="O169">
        <v>8</v>
      </c>
      <c r="P169">
        <v>39</v>
      </c>
    </row>
    <row r="170" spans="1:16" x14ac:dyDescent="0.3">
      <c r="A170" t="s">
        <v>384</v>
      </c>
      <c r="B170" t="s">
        <v>385</v>
      </c>
      <c r="C170" t="s">
        <v>35</v>
      </c>
      <c r="D170">
        <v>25</v>
      </c>
      <c r="E170" s="4">
        <v>36651</v>
      </c>
      <c r="F170" t="s">
        <v>25</v>
      </c>
      <c r="G170" t="s">
        <v>26</v>
      </c>
      <c r="H170" s="2">
        <v>41877</v>
      </c>
      <c r="J170" t="s">
        <v>37</v>
      </c>
      <c r="K170" t="s">
        <v>52</v>
      </c>
      <c r="L170" t="s">
        <v>38</v>
      </c>
      <c r="M170">
        <v>4</v>
      </c>
      <c r="N170">
        <v>10</v>
      </c>
      <c r="O170">
        <v>2</v>
      </c>
      <c r="P170">
        <v>29</v>
      </c>
    </row>
    <row r="171" spans="1:16" x14ac:dyDescent="0.3">
      <c r="A171" t="s">
        <v>386</v>
      </c>
      <c r="B171" t="s">
        <v>387</v>
      </c>
      <c r="C171" t="s">
        <v>35</v>
      </c>
      <c r="D171">
        <v>44</v>
      </c>
      <c r="E171" s="4">
        <v>29836</v>
      </c>
      <c r="F171" t="s">
        <v>18</v>
      </c>
      <c r="G171" t="s">
        <v>49</v>
      </c>
      <c r="H171" s="2">
        <v>44145</v>
      </c>
      <c r="I171" s="3">
        <v>44649</v>
      </c>
      <c r="J171" t="s">
        <v>20</v>
      </c>
      <c r="K171" t="s">
        <v>21</v>
      </c>
      <c r="L171" t="s">
        <v>27</v>
      </c>
      <c r="M171">
        <v>2</v>
      </c>
      <c r="N171">
        <v>30</v>
      </c>
      <c r="O171">
        <v>4</v>
      </c>
      <c r="P171">
        <v>18</v>
      </c>
    </row>
    <row r="172" spans="1:16" x14ac:dyDescent="0.3">
      <c r="A172" t="s">
        <v>388</v>
      </c>
      <c r="B172" t="s">
        <v>389</v>
      </c>
      <c r="C172" t="s">
        <v>17</v>
      </c>
      <c r="D172">
        <v>53</v>
      </c>
      <c r="E172" s="4">
        <v>26534</v>
      </c>
      <c r="F172" t="s">
        <v>18</v>
      </c>
      <c r="G172" t="s">
        <v>46</v>
      </c>
      <c r="H172" s="2">
        <v>43036</v>
      </c>
      <c r="J172" t="s">
        <v>37</v>
      </c>
      <c r="K172" t="s">
        <v>71</v>
      </c>
      <c r="L172" t="s">
        <v>22</v>
      </c>
      <c r="M172">
        <v>5</v>
      </c>
      <c r="N172">
        <v>21</v>
      </c>
      <c r="O172">
        <v>8</v>
      </c>
      <c r="P172">
        <v>24</v>
      </c>
    </row>
    <row r="173" spans="1:16" x14ac:dyDescent="0.3">
      <c r="A173" t="s">
        <v>390</v>
      </c>
      <c r="B173" t="s">
        <v>391</v>
      </c>
      <c r="C173" t="s">
        <v>35</v>
      </c>
      <c r="D173">
        <v>44</v>
      </c>
      <c r="E173" s="4">
        <v>29885</v>
      </c>
      <c r="F173" t="s">
        <v>25</v>
      </c>
      <c r="G173" t="s">
        <v>97</v>
      </c>
      <c r="H173" s="2">
        <v>40523</v>
      </c>
      <c r="J173" t="s">
        <v>37</v>
      </c>
      <c r="K173" t="s">
        <v>71</v>
      </c>
      <c r="L173" t="s">
        <v>27</v>
      </c>
      <c r="M173">
        <v>3</v>
      </c>
      <c r="N173">
        <v>23</v>
      </c>
      <c r="O173">
        <v>7</v>
      </c>
      <c r="P173">
        <v>13</v>
      </c>
    </row>
    <row r="174" spans="1:16" x14ac:dyDescent="0.3">
      <c r="A174" t="s">
        <v>392</v>
      </c>
      <c r="B174" t="s">
        <v>393</v>
      </c>
      <c r="C174" t="s">
        <v>17</v>
      </c>
      <c r="D174">
        <v>39</v>
      </c>
      <c r="E174" s="4">
        <v>31744</v>
      </c>
      <c r="F174" t="s">
        <v>55</v>
      </c>
      <c r="G174" t="s">
        <v>76</v>
      </c>
      <c r="H174" s="2">
        <v>42404</v>
      </c>
      <c r="I174" s="3">
        <v>44925</v>
      </c>
      <c r="J174" t="s">
        <v>20</v>
      </c>
      <c r="K174" t="s">
        <v>43</v>
      </c>
      <c r="L174" t="s">
        <v>22</v>
      </c>
      <c r="M174">
        <v>1</v>
      </c>
      <c r="N174">
        <v>21</v>
      </c>
      <c r="O174">
        <v>8</v>
      </c>
      <c r="P174">
        <v>14</v>
      </c>
    </row>
    <row r="175" spans="1:16" x14ac:dyDescent="0.3">
      <c r="A175" t="s">
        <v>394</v>
      </c>
      <c r="B175" t="s">
        <v>395</v>
      </c>
      <c r="C175" t="s">
        <v>17</v>
      </c>
      <c r="D175">
        <v>25</v>
      </c>
      <c r="E175" s="4">
        <v>36612</v>
      </c>
      <c r="F175" t="s">
        <v>41</v>
      </c>
      <c r="G175" t="s">
        <v>111</v>
      </c>
      <c r="H175" s="2">
        <v>42884</v>
      </c>
      <c r="J175" t="s">
        <v>37</v>
      </c>
      <c r="K175" t="s">
        <v>43</v>
      </c>
      <c r="L175" t="s">
        <v>22</v>
      </c>
      <c r="M175">
        <v>5</v>
      </c>
      <c r="N175">
        <v>29</v>
      </c>
      <c r="O175">
        <v>2</v>
      </c>
      <c r="P175">
        <v>26</v>
      </c>
    </row>
    <row r="176" spans="1:16" x14ac:dyDescent="0.3">
      <c r="A176" t="s">
        <v>396</v>
      </c>
      <c r="B176" t="s">
        <v>397</v>
      </c>
      <c r="C176" t="s">
        <v>35</v>
      </c>
      <c r="D176">
        <v>52</v>
      </c>
      <c r="E176" s="4">
        <v>26749</v>
      </c>
      <c r="F176" t="s">
        <v>25</v>
      </c>
      <c r="G176" t="s">
        <v>97</v>
      </c>
      <c r="H176" s="2">
        <v>42810</v>
      </c>
      <c r="J176" t="s">
        <v>37</v>
      </c>
      <c r="K176" t="s">
        <v>32</v>
      </c>
      <c r="L176" t="s">
        <v>38</v>
      </c>
      <c r="M176">
        <v>5</v>
      </c>
      <c r="N176">
        <v>7</v>
      </c>
      <c r="O176">
        <v>8</v>
      </c>
      <c r="P176">
        <v>2</v>
      </c>
    </row>
    <row r="177" spans="1:16" x14ac:dyDescent="0.3">
      <c r="A177" t="s">
        <v>398</v>
      </c>
      <c r="B177" t="s">
        <v>399</v>
      </c>
      <c r="C177" t="s">
        <v>17</v>
      </c>
      <c r="D177">
        <v>48</v>
      </c>
      <c r="E177" s="4">
        <v>28433</v>
      </c>
      <c r="F177" t="s">
        <v>25</v>
      </c>
      <c r="G177" t="s">
        <v>106</v>
      </c>
      <c r="H177" s="2">
        <v>43431</v>
      </c>
      <c r="J177" t="s">
        <v>37</v>
      </c>
      <c r="K177" t="s">
        <v>71</v>
      </c>
      <c r="L177" t="s">
        <v>22</v>
      </c>
      <c r="M177">
        <v>1</v>
      </c>
      <c r="N177">
        <v>9</v>
      </c>
      <c r="O177">
        <v>9</v>
      </c>
      <c r="P177">
        <v>38</v>
      </c>
    </row>
    <row r="178" spans="1:16" x14ac:dyDescent="0.3">
      <c r="A178" t="s">
        <v>400</v>
      </c>
      <c r="B178" t="s">
        <v>401</v>
      </c>
      <c r="C178" t="s">
        <v>17</v>
      </c>
      <c r="D178">
        <v>43</v>
      </c>
      <c r="E178" s="4">
        <v>30037</v>
      </c>
      <c r="F178" t="s">
        <v>18</v>
      </c>
      <c r="G178" t="s">
        <v>46</v>
      </c>
      <c r="H178" s="2">
        <v>44629</v>
      </c>
      <c r="J178" t="s">
        <v>37</v>
      </c>
      <c r="K178" t="s">
        <v>21</v>
      </c>
      <c r="L178" t="s">
        <v>27</v>
      </c>
      <c r="M178">
        <v>3</v>
      </c>
      <c r="N178">
        <v>6</v>
      </c>
      <c r="O178">
        <v>1</v>
      </c>
      <c r="P178">
        <v>21</v>
      </c>
    </row>
    <row r="179" spans="1:16" x14ac:dyDescent="0.3">
      <c r="A179" t="s">
        <v>402</v>
      </c>
      <c r="B179" t="s">
        <v>403</v>
      </c>
      <c r="C179" t="s">
        <v>17</v>
      </c>
      <c r="D179">
        <v>51</v>
      </c>
      <c r="E179" s="4">
        <v>27089</v>
      </c>
      <c r="F179" t="s">
        <v>18</v>
      </c>
      <c r="G179" t="s">
        <v>49</v>
      </c>
      <c r="H179" s="2">
        <v>41704</v>
      </c>
      <c r="I179" s="3">
        <v>43084</v>
      </c>
      <c r="J179" t="s">
        <v>20</v>
      </c>
      <c r="K179" t="s">
        <v>21</v>
      </c>
      <c r="L179" t="s">
        <v>38</v>
      </c>
      <c r="M179">
        <v>2</v>
      </c>
      <c r="N179">
        <v>5</v>
      </c>
      <c r="O179">
        <v>9</v>
      </c>
      <c r="P179">
        <v>40</v>
      </c>
    </row>
    <row r="180" spans="1:16" x14ac:dyDescent="0.3">
      <c r="A180" t="s">
        <v>404</v>
      </c>
      <c r="B180" t="s">
        <v>405</v>
      </c>
      <c r="C180" t="s">
        <v>35</v>
      </c>
      <c r="D180">
        <v>49</v>
      </c>
      <c r="E180" s="4">
        <v>27834</v>
      </c>
      <c r="F180" t="s">
        <v>55</v>
      </c>
      <c r="G180" t="s">
        <v>56</v>
      </c>
      <c r="H180" s="2">
        <v>40889</v>
      </c>
      <c r="J180" t="s">
        <v>37</v>
      </c>
      <c r="K180" t="s">
        <v>43</v>
      </c>
      <c r="L180" t="s">
        <v>22</v>
      </c>
      <c r="M180">
        <v>4</v>
      </c>
      <c r="N180">
        <v>10</v>
      </c>
      <c r="O180">
        <v>3</v>
      </c>
      <c r="P180">
        <v>0</v>
      </c>
    </row>
    <row r="181" spans="1:16" x14ac:dyDescent="0.3">
      <c r="A181" t="s">
        <v>406</v>
      </c>
      <c r="B181" t="s">
        <v>407</v>
      </c>
      <c r="C181" t="s">
        <v>35</v>
      </c>
      <c r="D181">
        <v>46</v>
      </c>
      <c r="E181" s="4">
        <v>29129</v>
      </c>
      <c r="F181" t="s">
        <v>25</v>
      </c>
      <c r="G181" t="s">
        <v>97</v>
      </c>
      <c r="H181" s="2">
        <v>42366</v>
      </c>
      <c r="J181" t="s">
        <v>37</v>
      </c>
      <c r="K181" t="s">
        <v>21</v>
      </c>
      <c r="L181" t="s">
        <v>38</v>
      </c>
      <c r="M181">
        <v>5</v>
      </c>
      <c r="N181">
        <v>0</v>
      </c>
      <c r="O181">
        <v>4</v>
      </c>
      <c r="P181">
        <v>23</v>
      </c>
    </row>
    <row r="182" spans="1:16" x14ac:dyDescent="0.3">
      <c r="A182" t="s">
        <v>408</v>
      </c>
      <c r="B182" t="s">
        <v>409</v>
      </c>
      <c r="C182" t="s">
        <v>17</v>
      </c>
      <c r="D182">
        <v>25</v>
      </c>
      <c r="E182" s="4">
        <v>36650</v>
      </c>
      <c r="F182" t="s">
        <v>41</v>
      </c>
      <c r="G182" t="s">
        <v>111</v>
      </c>
      <c r="H182" s="2">
        <v>42692</v>
      </c>
      <c r="I182" s="3">
        <v>44750</v>
      </c>
      <c r="J182" t="s">
        <v>20</v>
      </c>
      <c r="K182" t="s">
        <v>32</v>
      </c>
      <c r="L182" t="s">
        <v>38</v>
      </c>
      <c r="M182">
        <v>3</v>
      </c>
      <c r="N182">
        <v>11</v>
      </c>
      <c r="O182">
        <v>9</v>
      </c>
      <c r="P182">
        <v>14</v>
      </c>
    </row>
    <row r="183" spans="1:16" x14ac:dyDescent="0.3">
      <c r="A183" t="s">
        <v>410</v>
      </c>
      <c r="B183" t="s">
        <v>411</v>
      </c>
      <c r="C183" t="s">
        <v>17</v>
      </c>
      <c r="D183">
        <v>30</v>
      </c>
      <c r="E183" s="4">
        <v>34998</v>
      </c>
      <c r="F183" t="s">
        <v>30</v>
      </c>
      <c r="G183" t="s">
        <v>90</v>
      </c>
      <c r="H183" s="2">
        <v>43906</v>
      </c>
      <c r="J183" t="s">
        <v>37</v>
      </c>
      <c r="K183" t="s">
        <v>71</v>
      </c>
      <c r="L183" t="s">
        <v>27</v>
      </c>
      <c r="M183">
        <v>5</v>
      </c>
      <c r="N183">
        <v>29</v>
      </c>
      <c r="O183">
        <v>7</v>
      </c>
      <c r="P183">
        <v>34</v>
      </c>
    </row>
    <row r="184" spans="1:16" x14ac:dyDescent="0.3">
      <c r="A184" t="s">
        <v>412</v>
      </c>
      <c r="B184" t="s">
        <v>413</v>
      </c>
      <c r="C184" t="s">
        <v>17</v>
      </c>
      <c r="D184">
        <v>37</v>
      </c>
      <c r="E184" s="4">
        <v>32329</v>
      </c>
      <c r="F184" t="s">
        <v>55</v>
      </c>
      <c r="G184" t="s">
        <v>64</v>
      </c>
      <c r="H184" s="2">
        <v>44483</v>
      </c>
      <c r="J184" t="s">
        <v>37</v>
      </c>
      <c r="K184" t="s">
        <v>32</v>
      </c>
      <c r="L184" t="s">
        <v>38</v>
      </c>
      <c r="M184">
        <v>1</v>
      </c>
      <c r="N184">
        <v>1</v>
      </c>
      <c r="O184">
        <v>8</v>
      </c>
      <c r="P184">
        <v>32</v>
      </c>
    </row>
    <row r="185" spans="1:16" x14ac:dyDescent="0.3">
      <c r="A185" t="s">
        <v>414</v>
      </c>
      <c r="B185" t="s">
        <v>415</v>
      </c>
      <c r="C185" t="s">
        <v>17</v>
      </c>
      <c r="D185">
        <v>31</v>
      </c>
      <c r="E185" s="4">
        <v>34625</v>
      </c>
      <c r="F185" t="s">
        <v>25</v>
      </c>
      <c r="G185" t="s">
        <v>97</v>
      </c>
      <c r="H185" s="2">
        <v>44441</v>
      </c>
      <c r="J185" t="s">
        <v>37</v>
      </c>
      <c r="K185" t="s">
        <v>43</v>
      </c>
      <c r="L185" t="s">
        <v>38</v>
      </c>
      <c r="M185">
        <v>5</v>
      </c>
      <c r="N185">
        <v>15</v>
      </c>
      <c r="O185">
        <v>1</v>
      </c>
      <c r="P185">
        <v>32</v>
      </c>
    </row>
    <row r="186" spans="1:16" x14ac:dyDescent="0.3">
      <c r="A186" t="s">
        <v>416</v>
      </c>
      <c r="B186" t="s">
        <v>417</v>
      </c>
      <c r="C186" t="s">
        <v>35</v>
      </c>
      <c r="D186">
        <v>25</v>
      </c>
      <c r="E186" s="4">
        <v>36778</v>
      </c>
      <c r="F186" t="s">
        <v>30</v>
      </c>
      <c r="G186" t="s">
        <v>90</v>
      </c>
      <c r="H186" s="2">
        <v>44383</v>
      </c>
      <c r="J186" t="s">
        <v>37</v>
      </c>
      <c r="K186" t="s">
        <v>32</v>
      </c>
      <c r="L186" t="s">
        <v>38</v>
      </c>
      <c r="M186">
        <v>4</v>
      </c>
      <c r="N186">
        <v>21</v>
      </c>
      <c r="O186">
        <v>4</v>
      </c>
      <c r="P186">
        <v>1</v>
      </c>
    </row>
    <row r="187" spans="1:16" x14ac:dyDescent="0.3">
      <c r="A187" t="s">
        <v>418</v>
      </c>
      <c r="B187" t="s">
        <v>419</v>
      </c>
      <c r="C187" t="s">
        <v>35</v>
      </c>
      <c r="D187">
        <v>38</v>
      </c>
      <c r="E187" s="4">
        <v>32117</v>
      </c>
      <c r="F187" t="s">
        <v>41</v>
      </c>
      <c r="G187" t="s">
        <v>83</v>
      </c>
      <c r="H187" s="2">
        <v>44916</v>
      </c>
      <c r="I187" s="3">
        <v>45132</v>
      </c>
      <c r="J187" t="s">
        <v>20</v>
      </c>
      <c r="K187" t="s">
        <v>32</v>
      </c>
      <c r="L187" t="s">
        <v>38</v>
      </c>
      <c r="M187">
        <v>1</v>
      </c>
      <c r="N187">
        <v>29</v>
      </c>
      <c r="O187">
        <v>1</v>
      </c>
      <c r="P187">
        <v>30</v>
      </c>
    </row>
    <row r="188" spans="1:16" x14ac:dyDescent="0.3">
      <c r="A188" t="s">
        <v>420</v>
      </c>
      <c r="B188" t="s">
        <v>421</v>
      </c>
      <c r="C188" t="s">
        <v>17</v>
      </c>
      <c r="D188">
        <v>40</v>
      </c>
      <c r="E188" s="4">
        <v>31089</v>
      </c>
      <c r="F188" t="s">
        <v>30</v>
      </c>
      <c r="G188" t="s">
        <v>90</v>
      </c>
      <c r="H188" s="2">
        <v>41288</v>
      </c>
      <c r="J188" t="s">
        <v>37</v>
      </c>
      <c r="K188" t="s">
        <v>52</v>
      </c>
      <c r="L188" t="s">
        <v>27</v>
      </c>
      <c r="M188">
        <v>4</v>
      </c>
      <c r="N188">
        <v>14</v>
      </c>
      <c r="O188">
        <v>6</v>
      </c>
      <c r="P188">
        <v>24</v>
      </c>
    </row>
    <row r="189" spans="1:16" x14ac:dyDescent="0.3">
      <c r="A189" t="s">
        <v>422</v>
      </c>
      <c r="B189" t="s">
        <v>423</v>
      </c>
      <c r="C189" t="s">
        <v>17</v>
      </c>
      <c r="D189">
        <v>30</v>
      </c>
      <c r="E189" s="4">
        <v>34791</v>
      </c>
      <c r="F189" t="s">
        <v>18</v>
      </c>
      <c r="G189" t="s">
        <v>19</v>
      </c>
      <c r="H189" s="2">
        <v>41641</v>
      </c>
      <c r="J189" t="s">
        <v>37</v>
      </c>
      <c r="K189" t="s">
        <v>21</v>
      </c>
      <c r="L189" t="s">
        <v>22</v>
      </c>
      <c r="M189">
        <v>2</v>
      </c>
      <c r="N189">
        <v>26</v>
      </c>
      <c r="O189">
        <v>0</v>
      </c>
      <c r="P189">
        <v>1</v>
      </c>
    </row>
    <row r="190" spans="1:16" x14ac:dyDescent="0.3">
      <c r="A190" t="s">
        <v>424</v>
      </c>
      <c r="B190" t="s">
        <v>425</v>
      </c>
      <c r="C190" t="s">
        <v>35</v>
      </c>
      <c r="D190">
        <v>51</v>
      </c>
      <c r="E190" s="4">
        <v>27172</v>
      </c>
      <c r="F190" t="s">
        <v>55</v>
      </c>
      <c r="G190" t="s">
        <v>56</v>
      </c>
      <c r="H190" s="2">
        <v>44536</v>
      </c>
      <c r="J190" t="s">
        <v>37</v>
      </c>
      <c r="K190" t="s">
        <v>43</v>
      </c>
      <c r="L190" t="s">
        <v>27</v>
      </c>
      <c r="M190">
        <v>3</v>
      </c>
      <c r="N190">
        <v>4</v>
      </c>
      <c r="O190">
        <v>4</v>
      </c>
      <c r="P190">
        <v>12</v>
      </c>
    </row>
    <row r="191" spans="1:16" x14ac:dyDescent="0.3">
      <c r="A191" t="s">
        <v>426</v>
      </c>
      <c r="B191" t="s">
        <v>427</v>
      </c>
      <c r="C191" t="s">
        <v>17</v>
      </c>
      <c r="D191">
        <v>24</v>
      </c>
      <c r="E191" s="4">
        <v>37129</v>
      </c>
      <c r="F191" t="s">
        <v>30</v>
      </c>
      <c r="G191" t="s">
        <v>36</v>
      </c>
      <c r="H191" s="2">
        <v>40307</v>
      </c>
      <c r="J191" t="s">
        <v>37</v>
      </c>
      <c r="K191" t="s">
        <v>32</v>
      </c>
      <c r="L191" t="s">
        <v>38</v>
      </c>
      <c r="M191">
        <v>1</v>
      </c>
      <c r="N191">
        <v>14</v>
      </c>
      <c r="O191">
        <v>9</v>
      </c>
      <c r="P191">
        <v>3</v>
      </c>
    </row>
    <row r="192" spans="1:16" x14ac:dyDescent="0.3">
      <c r="A192" t="s">
        <v>428</v>
      </c>
      <c r="B192" t="s">
        <v>429</v>
      </c>
      <c r="C192" t="s">
        <v>17</v>
      </c>
      <c r="D192">
        <v>24</v>
      </c>
      <c r="E192" s="4">
        <v>36957</v>
      </c>
      <c r="F192" t="s">
        <v>30</v>
      </c>
      <c r="G192" t="s">
        <v>31</v>
      </c>
      <c r="H192" s="2">
        <v>42098</v>
      </c>
      <c r="J192" t="s">
        <v>37</v>
      </c>
      <c r="K192" t="s">
        <v>43</v>
      </c>
      <c r="L192" t="s">
        <v>38</v>
      </c>
      <c r="M192">
        <v>3</v>
      </c>
      <c r="N192">
        <v>7</v>
      </c>
      <c r="O192">
        <v>9</v>
      </c>
      <c r="P192">
        <v>20</v>
      </c>
    </row>
    <row r="193" spans="1:16" x14ac:dyDescent="0.3">
      <c r="A193" t="s">
        <v>430</v>
      </c>
      <c r="B193" t="s">
        <v>431</v>
      </c>
      <c r="C193" t="s">
        <v>35</v>
      </c>
      <c r="D193">
        <v>37</v>
      </c>
      <c r="E193" s="4">
        <v>32369</v>
      </c>
      <c r="F193" t="s">
        <v>18</v>
      </c>
      <c r="G193" t="s">
        <v>19</v>
      </c>
      <c r="H193" s="2">
        <v>44449</v>
      </c>
      <c r="J193" t="s">
        <v>37</v>
      </c>
      <c r="K193" t="s">
        <v>71</v>
      </c>
      <c r="L193" t="s">
        <v>22</v>
      </c>
      <c r="M193">
        <v>5</v>
      </c>
      <c r="N193">
        <v>30</v>
      </c>
      <c r="O193">
        <v>9</v>
      </c>
      <c r="P193">
        <v>11</v>
      </c>
    </row>
    <row r="194" spans="1:16" x14ac:dyDescent="0.3">
      <c r="A194" t="s">
        <v>432</v>
      </c>
      <c r="B194" t="s">
        <v>433</v>
      </c>
      <c r="C194" t="s">
        <v>35</v>
      </c>
      <c r="D194">
        <v>53</v>
      </c>
      <c r="E194" s="4">
        <v>26382</v>
      </c>
      <c r="F194" t="s">
        <v>41</v>
      </c>
      <c r="G194" t="s">
        <v>61</v>
      </c>
      <c r="H194" s="2">
        <v>43301</v>
      </c>
      <c r="J194" t="s">
        <v>37</v>
      </c>
      <c r="K194" t="s">
        <v>52</v>
      </c>
      <c r="L194" t="s">
        <v>27</v>
      </c>
      <c r="M194">
        <v>2</v>
      </c>
      <c r="N194">
        <v>9</v>
      </c>
      <c r="O194">
        <v>6</v>
      </c>
      <c r="P194">
        <v>11</v>
      </c>
    </row>
    <row r="195" spans="1:16" x14ac:dyDescent="0.3">
      <c r="A195" t="s">
        <v>434</v>
      </c>
      <c r="B195" t="s">
        <v>435</v>
      </c>
      <c r="C195" t="s">
        <v>35</v>
      </c>
      <c r="D195">
        <v>37</v>
      </c>
      <c r="E195" s="4">
        <v>32452</v>
      </c>
      <c r="F195" t="s">
        <v>25</v>
      </c>
      <c r="G195" t="s">
        <v>97</v>
      </c>
      <c r="H195" s="2">
        <v>41361</v>
      </c>
      <c r="J195" t="s">
        <v>37</v>
      </c>
      <c r="K195" t="s">
        <v>21</v>
      </c>
      <c r="L195" t="s">
        <v>27</v>
      </c>
      <c r="M195">
        <v>4</v>
      </c>
      <c r="N195">
        <v>17</v>
      </c>
      <c r="O195">
        <v>8</v>
      </c>
      <c r="P195">
        <v>8</v>
      </c>
    </row>
    <row r="196" spans="1:16" x14ac:dyDescent="0.3">
      <c r="A196" t="s">
        <v>436</v>
      </c>
      <c r="B196" t="s">
        <v>437</v>
      </c>
      <c r="C196" t="s">
        <v>35</v>
      </c>
      <c r="D196">
        <v>37</v>
      </c>
      <c r="E196" s="4">
        <v>32279</v>
      </c>
      <c r="F196" t="s">
        <v>18</v>
      </c>
      <c r="G196" t="s">
        <v>19</v>
      </c>
      <c r="H196" s="2">
        <v>42884</v>
      </c>
      <c r="J196" t="s">
        <v>37</v>
      </c>
      <c r="K196" t="s">
        <v>71</v>
      </c>
      <c r="L196" t="s">
        <v>22</v>
      </c>
      <c r="M196">
        <v>5</v>
      </c>
      <c r="N196">
        <v>23</v>
      </c>
      <c r="O196">
        <v>3</v>
      </c>
      <c r="P196">
        <v>3</v>
      </c>
    </row>
    <row r="197" spans="1:16" x14ac:dyDescent="0.3">
      <c r="A197" t="s">
        <v>438</v>
      </c>
      <c r="B197" t="s">
        <v>439</v>
      </c>
      <c r="C197" t="s">
        <v>35</v>
      </c>
      <c r="D197">
        <v>46</v>
      </c>
      <c r="E197" s="4">
        <v>29215</v>
      </c>
      <c r="F197" t="s">
        <v>55</v>
      </c>
      <c r="G197" t="s">
        <v>76</v>
      </c>
      <c r="H197" s="2">
        <v>40502</v>
      </c>
      <c r="J197" t="s">
        <v>37</v>
      </c>
      <c r="K197" t="s">
        <v>21</v>
      </c>
      <c r="L197" t="s">
        <v>38</v>
      </c>
      <c r="M197">
        <v>5</v>
      </c>
      <c r="N197">
        <v>6</v>
      </c>
      <c r="O197">
        <v>7</v>
      </c>
      <c r="P197">
        <v>13</v>
      </c>
    </row>
    <row r="198" spans="1:16" x14ac:dyDescent="0.3">
      <c r="A198" t="s">
        <v>440</v>
      </c>
      <c r="B198" t="s">
        <v>441</v>
      </c>
      <c r="C198" t="s">
        <v>35</v>
      </c>
      <c r="D198">
        <v>41</v>
      </c>
      <c r="E198" s="4">
        <v>30779</v>
      </c>
      <c r="F198" t="s">
        <v>41</v>
      </c>
      <c r="G198" t="s">
        <v>83</v>
      </c>
      <c r="H198" s="2">
        <v>41735</v>
      </c>
      <c r="J198" t="s">
        <v>37</v>
      </c>
      <c r="K198" t="s">
        <v>52</v>
      </c>
      <c r="L198" t="s">
        <v>22</v>
      </c>
      <c r="M198">
        <v>5</v>
      </c>
      <c r="N198">
        <v>22</v>
      </c>
      <c r="O198">
        <v>3</v>
      </c>
      <c r="P198">
        <v>25</v>
      </c>
    </row>
    <row r="199" spans="1:16" x14ac:dyDescent="0.3">
      <c r="A199" t="s">
        <v>442</v>
      </c>
      <c r="B199" t="s">
        <v>443</v>
      </c>
      <c r="C199" t="s">
        <v>17</v>
      </c>
      <c r="D199">
        <v>42</v>
      </c>
      <c r="E199" s="4">
        <v>30353</v>
      </c>
      <c r="F199" t="s">
        <v>18</v>
      </c>
      <c r="G199" t="s">
        <v>46</v>
      </c>
      <c r="H199" s="2">
        <v>43998</v>
      </c>
      <c r="J199" t="s">
        <v>37</v>
      </c>
      <c r="K199" t="s">
        <v>71</v>
      </c>
      <c r="L199" t="s">
        <v>27</v>
      </c>
      <c r="M199">
        <v>3</v>
      </c>
      <c r="N199">
        <v>16</v>
      </c>
      <c r="O199">
        <v>7</v>
      </c>
      <c r="P199">
        <v>29</v>
      </c>
    </row>
    <row r="200" spans="1:16" x14ac:dyDescent="0.3">
      <c r="A200" t="s">
        <v>444</v>
      </c>
      <c r="B200" t="s">
        <v>445</v>
      </c>
      <c r="C200" t="s">
        <v>17</v>
      </c>
      <c r="D200">
        <v>52</v>
      </c>
      <c r="E200" s="4">
        <v>26867</v>
      </c>
      <c r="F200" t="s">
        <v>18</v>
      </c>
      <c r="G200" t="s">
        <v>19</v>
      </c>
      <c r="H200" s="2">
        <v>43215</v>
      </c>
      <c r="J200" t="s">
        <v>37</v>
      </c>
      <c r="K200" t="s">
        <v>21</v>
      </c>
      <c r="L200" t="s">
        <v>22</v>
      </c>
      <c r="M200">
        <v>2</v>
      </c>
      <c r="N200">
        <v>0</v>
      </c>
      <c r="O200">
        <v>4</v>
      </c>
      <c r="P200">
        <v>35</v>
      </c>
    </row>
    <row r="201" spans="1:16" x14ac:dyDescent="0.3">
      <c r="A201" t="s">
        <v>446</v>
      </c>
      <c r="B201" t="s">
        <v>447</v>
      </c>
      <c r="C201" t="s">
        <v>35</v>
      </c>
      <c r="D201">
        <v>40</v>
      </c>
      <c r="E201" s="4">
        <v>31103</v>
      </c>
      <c r="F201" t="s">
        <v>25</v>
      </c>
      <c r="G201" t="s">
        <v>106</v>
      </c>
      <c r="H201" s="2">
        <v>42881</v>
      </c>
      <c r="J201" t="s">
        <v>37</v>
      </c>
      <c r="K201" t="s">
        <v>43</v>
      </c>
      <c r="L201" t="s">
        <v>27</v>
      </c>
      <c r="M201">
        <v>5</v>
      </c>
      <c r="N201">
        <v>20</v>
      </c>
      <c r="O201">
        <v>10</v>
      </c>
      <c r="P201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workbookViewId="0">
      <selection activeCell="E42" sqref="E42"/>
    </sheetView>
  </sheetViews>
  <sheetFormatPr defaultRowHeight="14.4" x14ac:dyDescent="0.3"/>
  <cols>
    <col min="1" max="1" width="11.6640625" bestFit="1" customWidth="1"/>
    <col min="2" max="2" width="10.44140625" bestFit="1" customWidth="1"/>
    <col min="3" max="3" width="12.5546875" bestFit="1" customWidth="1"/>
    <col min="4" max="4" width="11" bestFit="1" customWidth="1"/>
    <col min="5" max="5" width="11.33203125" bestFit="1" customWidth="1"/>
    <col min="6" max="6" width="9.5546875" bestFit="1" customWidth="1"/>
  </cols>
  <sheetData>
    <row r="1" spans="1:6" x14ac:dyDescent="0.3">
      <c r="A1" s="1" t="s">
        <v>0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</row>
    <row r="2" spans="1:6" x14ac:dyDescent="0.3">
      <c r="A2" t="s">
        <v>15</v>
      </c>
      <c r="B2">
        <v>3971</v>
      </c>
      <c r="C2">
        <v>50</v>
      </c>
      <c r="D2">
        <v>300.73</v>
      </c>
      <c r="E2">
        <v>4021</v>
      </c>
      <c r="F2">
        <v>3720.27</v>
      </c>
    </row>
    <row r="3" spans="1:6" x14ac:dyDescent="0.3">
      <c r="A3" t="s">
        <v>23</v>
      </c>
      <c r="B3">
        <v>3861</v>
      </c>
      <c r="C3">
        <v>850</v>
      </c>
      <c r="D3">
        <v>510.27</v>
      </c>
      <c r="E3">
        <v>4711</v>
      </c>
      <c r="F3">
        <v>4200.7299999999996</v>
      </c>
    </row>
    <row r="4" spans="1:6" x14ac:dyDescent="0.3">
      <c r="A4" t="s">
        <v>28</v>
      </c>
      <c r="B4">
        <v>1618</v>
      </c>
      <c r="C4">
        <v>1900</v>
      </c>
      <c r="D4">
        <v>237.28</v>
      </c>
      <c r="E4">
        <v>3518</v>
      </c>
      <c r="F4">
        <v>3280.72</v>
      </c>
    </row>
    <row r="5" spans="1:6" x14ac:dyDescent="0.3">
      <c r="A5" t="s">
        <v>33</v>
      </c>
      <c r="B5">
        <v>2750</v>
      </c>
      <c r="C5">
        <v>1950</v>
      </c>
      <c r="D5">
        <v>313.97000000000003</v>
      </c>
      <c r="E5">
        <v>4700</v>
      </c>
      <c r="F5">
        <v>4386.03</v>
      </c>
    </row>
    <row r="6" spans="1:6" x14ac:dyDescent="0.3">
      <c r="A6" t="s">
        <v>39</v>
      </c>
      <c r="B6">
        <v>1526</v>
      </c>
      <c r="C6">
        <v>2000</v>
      </c>
      <c r="D6">
        <v>151.16</v>
      </c>
      <c r="E6">
        <v>3526</v>
      </c>
      <c r="F6">
        <v>3374.84</v>
      </c>
    </row>
    <row r="7" spans="1:6" x14ac:dyDescent="0.3">
      <c r="A7" t="s">
        <v>44</v>
      </c>
      <c r="B7">
        <v>3999</v>
      </c>
      <c r="C7">
        <v>500</v>
      </c>
      <c r="D7">
        <v>267.23</v>
      </c>
      <c r="E7">
        <v>4499</v>
      </c>
      <c r="F7">
        <v>4231.7700000000004</v>
      </c>
    </row>
    <row r="8" spans="1:6" x14ac:dyDescent="0.3">
      <c r="A8" t="s">
        <v>47</v>
      </c>
      <c r="B8">
        <v>2528</v>
      </c>
      <c r="C8">
        <v>1250</v>
      </c>
      <c r="D8">
        <v>327.37</v>
      </c>
      <c r="E8">
        <v>3778</v>
      </c>
      <c r="F8">
        <v>3450.63</v>
      </c>
    </row>
    <row r="9" spans="1:6" x14ac:dyDescent="0.3">
      <c r="A9" t="s">
        <v>50</v>
      </c>
      <c r="B9">
        <v>3244</v>
      </c>
      <c r="C9">
        <v>400</v>
      </c>
      <c r="D9">
        <v>217.11</v>
      </c>
      <c r="E9">
        <v>3644</v>
      </c>
      <c r="F9">
        <v>3426.89</v>
      </c>
    </row>
    <row r="10" spans="1:6" x14ac:dyDescent="0.3">
      <c r="A10" t="s">
        <v>53</v>
      </c>
      <c r="B10">
        <v>2098</v>
      </c>
      <c r="C10">
        <v>350</v>
      </c>
      <c r="D10">
        <v>256.02</v>
      </c>
      <c r="E10">
        <v>2448</v>
      </c>
      <c r="F10">
        <v>2191.98</v>
      </c>
    </row>
    <row r="11" spans="1:6" x14ac:dyDescent="0.3">
      <c r="A11" t="s">
        <v>57</v>
      </c>
      <c r="B11">
        <v>3640</v>
      </c>
      <c r="C11">
        <v>350</v>
      </c>
      <c r="D11">
        <v>359.75</v>
      </c>
      <c r="E11">
        <v>3990</v>
      </c>
      <c r="F11">
        <v>3630.25</v>
      </c>
    </row>
    <row r="12" spans="1:6" x14ac:dyDescent="0.3">
      <c r="A12" t="s">
        <v>59</v>
      </c>
      <c r="B12">
        <v>2278</v>
      </c>
      <c r="C12">
        <v>2000</v>
      </c>
      <c r="D12">
        <v>322.77</v>
      </c>
      <c r="E12">
        <v>4278</v>
      </c>
      <c r="F12">
        <v>3955.23</v>
      </c>
    </row>
    <row r="13" spans="1:6" x14ac:dyDescent="0.3">
      <c r="A13" t="s">
        <v>62</v>
      </c>
      <c r="B13">
        <v>1861</v>
      </c>
      <c r="C13">
        <v>1550</v>
      </c>
      <c r="D13">
        <v>193.94</v>
      </c>
      <c r="E13">
        <v>3411</v>
      </c>
      <c r="F13">
        <v>3217.06</v>
      </c>
    </row>
    <row r="14" spans="1:6" x14ac:dyDescent="0.3">
      <c r="A14" t="s">
        <v>65</v>
      </c>
      <c r="B14">
        <v>1522</v>
      </c>
      <c r="C14">
        <v>1700</v>
      </c>
      <c r="D14">
        <v>173.78</v>
      </c>
      <c r="E14">
        <v>3222</v>
      </c>
      <c r="F14">
        <v>3048.22</v>
      </c>
    </row>
    <row r="15" spans="1:6" x14ac:dyDescent="0.3">
      <c r="A15" t="s">
        <v>67</v>
      </c>
      <c r="B15">
        <v>3684</v>
      </c>
      <c r="C15">
        <v>950</v>
      </c>
      <c r="D15">
        <v>205.84</v>
      </c>
      <c r="E15">
        <v>4634</v>
      </c>
      <c r="F15">
        <v>4428.16</v>
      </c>
    </row>
    <row r="16" spans="1:6" x14ac:dyDescent="0.3">
      <c r="A16" t="s">
        <v>69</v>
      </c>
      <c r="B16">
        <v>1462</v>
      </c>
      <c r="C16">
        <v>1850</v>
      </c>
      <c r="D16">
        <v>78.05</v>
      </c>
      <c r="E16">
        <v>3312</v>
      </c>
      <c r="F16">
        <v>3233.95</v>
      </c>
    </row>
    <row r="17" spans="1:6" x14ac:dyDescent="0.3">
      <c r="A17" t="s">
        <v>72</v>
      </c>
      <c r="B17">
        <v>2553</v>
      </c>
      <c r="C17">
        <v>1550</v>
      </c>
      <c r="D17">
        <v>343.81</v>
      </c>
      <c r="E17">
        <v>4103</v>
      </c>
      <c r="F17">
        <v>3759.19</v>
      </c>
    </row>
    <row r="18" spans="1:6" x14ac:dyDescent="0.3">
      <c r="A18" t="s">
        <v>74</v>
      </c>
      <c r="B18">
        <v>3137</v>
      </c>
      <c r="C18">
        <v>1350</v>
      </c>
      <c r="D18">
        <v>453.36</v>
      </c>
      <c r="E18">
        <v>4487</v>
      </c>
      <c r="F18">
        <v>4033.64</v>
      </c>
    </row>
    <row r="19" spans="1:6" x14ac:dyDescent="0.3">
      <c r="A19" t="s">
        <v>77</v>
      </c>
      <c r="B19">
        <v>3846</v>
      </c>
      <c r="C19">
        <v>300</v>
      </c>
      <c r="D19">
        <v>449.3</v>
      </c>
      <c r="E19">
        <v>4146</v>
      </c>
      <c r="F19">
        <v>3696.7</v>
      </c>
    </row>
    <row r="20" spans="1:6" x14ac:dyDescent="0.3">
      <c r="A20" t="s">
        <v>79</v>
      </c>
      <c r="B20">
        <v>2340</v>
      </c>
      <c r="C20">
        <v>300</v>
      </c>
      <c r="D20">
        <v>295.86</v>
      </c>
      <c r="E20">
        <v>2640</v>
      </c>
      <c r="F20">
        <v>2344.14</v>
      </c>
    </row>
    <row r="21" spans="1:6" x14ac:dyDescent="0.3">
      <c r="A21" t="s">
        <v>81</v>
      </c>
      <c r="B21">
        <v>3171</v>
      </c>
      <c r="C21">
        <v>0</v>
      </c>
      <c r="D21">
        <v>289.32</v>
      </c>
      <c r="E21">
        <v>3171</v>
      </c>
      <c r="F21">
        <v>2881.68</v>
      </c>
    </row>
    <row r="22" spans="1:6" x14ac:dyDescent="0.3">
      <c r="A22" t="s">
        <v>84</v>
      </c>
      <c r="B22">
        <v>3476</v>
      </c>
      <c r="C22">
        <v>150</v>
      </c>
      <c r="D22">
        <v>466.67</v>
      </c>
      <c r="E22">
        <v>3626</v>
      </c>
      <c r="F22">
        <v>3159.33</v>
      </c>
    </row>
    <row r="23" spans="1:6" x14ac:dyDescent="0.3">
      <c r="A23" t="s">
        <v>86</v>
      </c>
      <c r="B23">
        <v>3375</v>
      </c>
      <c r="C23">
        <v>200</v>
      </c>
      <c r="D23">
        <v>246.86</v>
      </c>
      <c r="E23">
        <v>3575</v>
      </c>
      <c r="F23">
        <v>3328.14</v>
      </c>
    </row>
    <row r="24" spans="1:6" x14ac:dyDescent="0.3">
      <c r="A24" t="s">
        <v>88</v>
      </c>
      <c r="B24">
        <v>3635</v>
      </c>
      <c r="C24">
        <v>1850</v>
      </c>
      <c r="D24">
        <v>438.81</v>
      </c>
      <c r="E24">
        <v>5485</v>
      </c>
      <c r="F24">
        <v>5046.1899999999996</v>
      </c>
    </row>
    <row r="25" spans="1:6" x14ac:dyDescent="0.3">
      <c r="A25" t="s">
        <v>91</v>
      </c>
      <c r="B25">
        <v>2821</v>
      </c>
      <c r="C25">
        <v>200</v>
      </c>
      <c r="D25">
        <v>143.63</v>
      </c>
      <c r="E25">
        <v>3021</v>
      </c>
      <c r="F25">
        <v>2877.37</v>
      </c>
    </row>
    <row r="26" spans="1:6" x14ac:dyDescent="0.3">
      <c r="A26" t="s">
        <v>93</v>
      </c>
      <c r="B26">
        <v>3272</v>
      </c>
      <c r="C26">
        <v>750</v>
      </c>
      <c r="D26">
        <v>329.08</v>
      </c>
      <c r="E26">
        <v>4022</v>
      </c>
      <c r="F26">
        <v>3692.92</v>
      </c>
    </row>
    <row r="27" spans="1:6" x14ac:dyDescent="0.3">
      <c r="A27" t="s">
        <v>95</v>
      </c>
      <c r="B27">
        <v>3705</v>
      </c>
      <c r="C27">
        <v>300</v>
      </c>
      <c r="D27">
        <v>323.52</v>
      </c>
      <c r="E27">
        <v>4005</v>
      </c>
      <c r="F27">
        <v>3681.48</v>
      </c>
    </row>
    <row r="28" spans="1:6" x14ac:dyDescent="0.3">
      <c r="A28" t="s">
        <v>98</v>
      </c>
      <c r="B28">
        <v>3677</v>
      </c>
      <c r="C28">
        <v>2000</v>
      </c>
      <c r="D28">
        <v>411.03</v>
      </c>
      <c r="E28">
        <v>5677</v>
      </c>
      <c r="F28">
        <v>5265.97</v>
      </c>
    </row>
    <row r="29" spans="1:6" x14ac:dyDescent="0.3">
      <c r="A29" t="s">
        <v>100</v>
      </c>
      <c r="B29">
        <v>2333</v>
      </c>
      <c r="C29">
        <v>2000</v>
      </c>
      <c r="D29">
        <v>272.2</v>
      </c>
      <c r="E29">
        <v>4333</v>
      </c>
      <c r="F29">
        <v>4060.8</v>
      </c>
    </row>
    <row r="30" spans="1:6" x14ac:dyDescent="0.3">
      <c r="A30" t="s">
        <v>102</v>
      </c>
      <c r="B30">
        <v>1658</v>
      </c>
      <c r="C30">
        <v>1150</v>
      </c>
      <c r="D30">
        <v>185.12</v>
      </c>
      <c r="E30">
        <v>2808</v>
      </c>
      <c r="F30">
        <v>2622.88</v>
      </c>
    </row>
    <row r="31" spans="1:6" x14ac:dyDescent="0.3">
      <c r="A31" t="s">
        <v>104</v>
      </c>
      <c r="B31">
        <v>1363</v>
      </c>
      <c r="C31">
        <v>1100</v>
      </c>
      <c r="D31">
        <v>134.01</v>
      </c>
      <c r="E31">
        <v>2463</v>
      </c>
      <c r="F31">
        <v>2328.9899999999998</v>
      </c>
    </row>
    <row r="32" spans="1:6" x14ac:dyDescent="0.3">
      <c r="A32" t="s">
        <v>107</v>
      </c>
      <c r="B32">
        <v>1301</v>
      </c>
      <c r="C32">
        <v>750</v>
      </c>
      <c r="D32">
        <v>128.52000000000001</v>
      </c>
      <c r="E32">
        <v>2051</v>
      </c>
      <c r="F32">
        <v>1922.48</v>
      </c>
    </row>
    <row r="33" spans="1:6" x14ac:dyDescent="0.3">
      <c r="A33" t="s">
        <v>109</v>
      </c>
      <c r="B33">
        <v>2111</v>
      </c>
      <c r="C33">
        <v>700</v>
      </c>
      <c r="D33">
        <v>106.95</v>
      </c>
      <c r="E33">
        <v>2811</v>
      </c>
      <c r="F33">
        <v>2704.05</v>
      </c>
    </row>
    <row r="34" spans="1:6" x14ac:dyDescent="0.3">
      <c r="A34" t="s">
        <v>112</v>
      </c>
      <c r="B34">
        <v>2343</v>
      </c>
      <c r="C34">
        <v>1700</v>
      </c>
      <c r="D34">
        <v>246.4</v>
      </c>
      <c r="E34">
        <v>4043</v>
      </c>
      <c r="F34">
        <v>3796.6</v>
      </c>
    </row>
    <row r="35" spans="1:6" x14ac:dyDescent="0.3">
      <c r="A35" t="s">
        <v>114</v>
      </c>
      <c r="B35">
        <v>2287</v>
      </c>
      <c r="C35">
        <v>1000</v>
      </c>
      <c r="D35">
        <v>117.06</v>
      </c>
      <c r="E35">
        <v>3287</v>
      </c>
      <c r="F35">
        <v>3169.94</v>
      </c>
    </row>
    <row r="36" spans="1:6" x14ac:dyDescent="0.3">
      <c r="A36" t="s">
        <v>116</v>
      </c>
      <c r="B36">
        <v>2986</v>
      </c>
      <c r="C36">
        <v>600</v>
      </c>
      <c r="D36">
        <v>307.38</v>
      </c>
      <c r="E36">
        <v>3586</v>
      </c>
      <c r="F36">
        <v>3278.62</v>
      </c>
    </row>
    <row r="37" spans="1:6" x14ac:dyDescent="0.3">
      <c r="A37" t="s">
        <v>118</v>
      </c>
      <c r="B37">
        <v>1710</v>
      </c>
      <c r="C37">
        <v>1000</v>
      </c>
      <c r="D37">
        <v>132.47999999999999</v>
      </c>
      <c r="E37">
        <v>2710</v>
      </c>
      <c r="F37">
        <v>2577.52</v>
      </c>
    </row>
    <row r="38" spans="1:6" x14ac:dyDescent="0.3">
      <c r="A38" t="s">
        <v>120</v>
      </c>
      <c r="B38">
        <v>2752</v>
      </c>
      <c r="C38">
        <v>1750</v>
      </c>
      <c r="D38">
        <v>406.6</v>
      </c>
      <c r="E38">
        <v>4502</v>
      </c>
      <c r="F38">
        <v>4095.4</v>
      </c>
    </row>
    <row r="39" spans="1:6" x14ac:dyDescent="0.3">
      <c r="A39" t="s">
        <v>122</v>
      </c>
      <c r="B39">
        <v>3684</v>
      </c>
      <c r="C39">
        <v>650</v>
      </c>
      <c r="D39">
        <v>190.52</v>
      </c>
      <c r="E39">
        <v>4334</v>
      </c>
      <c r="F39">
        <v>4143.4799999999996</v>
      </c>
    </row>
    <row r="40" spans="1:6" x14ac:dyDescent="0.3">
      <c r="A40" t="s">
        <v>124</v>
      </c>
      <c r="B40">
        <v>3736</v>
      </c>
      <c r="C40">
        <v>700</v>
      </c>
      <c r="D40">
        <v>490.6</v>
      </c>
      <c r="E40">
        <v>4436</v>
      </c>
      <c r="F40">
        <v>3945.4</v>
      </c>
    </row>
    <row r="41" spans="1:6" x14ac:dyDescent="0.3">
      <c r="A41" t="s">
        <v>126</v>
      </c>
      <c r="B41">
        <v>3703</v>
      </c>
      <c r="C41">
        <v>1800</v>
      </c>
      <c r="D41">
        <v>434.74</v>
      </c>
      <c r="E41">
        <v>5503</v>
      </c>
      <c r="F41">
        <v>5068.26</v>
      </c>
    </row>
    <row r="42" spans="1:6" x14ac:dyDescent="0.3">
      <c r="A42" t="s">
        <v>128</v>
      </c>
      <c r="B42">
        <v>1222</v>
      </c>
      <c r="C42">
        <v>1450</v>
      </c>
      <c r="D42">
        <v>159.61000000000001</v>
      </c>
      <c r="E42">
        <v>2672</v>
      </c>
      <c r="F42">
        <v>2512.39</v>
      </c>
    </row>
    <row r="43" spans="1:6" x14ac:dyDescent="0.3">
      <c r="A43" t="s">
        <v>130</v>
      </c>
      <c r="B43">
        <v>3934</v>
      </c>
      <c r="C43">
        <v>1950</v>
      </c>
      <c r="D43">
        <v>554.6</v>
      </c>
      <c r="E43">
        <v>5884</v>
      </c>
      <c r="F43">
        <v>5329.4</v>
      </c>
    </row>
    <row r="44" spans="1:6" x14ac:dyDescent="0.3">
      <c r="A44" t="s">
        <v>132</v>
      </c>
      <c r="B44">
        <v>2212</v>
      </c>
      <c r="C44">
        <v>850</v>
      </c>
      <c r="D44">
        <v>134.27000000000001</v>
      </c>
      <c r="E44">
        <v>3062</v>
      </c>
      <c r="F44">
        <v>2927.73</v>
      </c>
    </row>
    <row r="45" spans="1:6" x14ac:dyDescent="0.3">
      <c r="A45" t="s">
        <v>134</v>
      </c>
      <c r="B45">
        <v>3412</v>
      </c>
      <c r="C45">
        <v>450</v>
      </c>
      <c r="D45">
        <v>203.46</v>
      </c>
      <c r="E45">
        <v>3862</v>
      </c>
      <c r="F45">
        <v>3658.54</v>
      </c>
    </row>
    <row r="46" spans="1:6" x14ac:dyDescent="0.3">
      <c r="A46" t="s">
        <v>136</v>
      </c>
      <c r="B46">
        <v>2903</v>
      </c>
      <c r="C46">
        <v>50</v>
      </c>
      <c r="D46">
        <v>188.37</v>
      </c>
      <c r="E46">
        <v>2953</v>
      </c>
      <c r="F46">
        <v>2764.63</v>
      </c>
    </row>
    <row r="47" spans="1:6" x14ac:dyDescent="0.3">
      <c r="A47" t="s">
        <v>138</v>
      </c>
      <c r="B47">
        <v>2916</v>
      </c>
      <c r="C47">
        <v>700</v>
      </c>
      <c r="D47">
        <v>201.77</v>
      </c>
      <c r="E47">
        <v>3616</v>
      </c>
      <c r="F47">
        <v>3414.23</v>
      </c>
    </row>
    <row r="48" spans="1:6" x14ac:dyDescent="0.3">
      <c r="A48" t="s">
        <v>140</v>
      </c>
      <c r="B48">
        <v>3939</v>
      </c>
      <c r="C48">
        <v>400</v>
      </c>
      <c r="D48">
        <v>404.32</v>
      </c>
      <c r="E48">
        <v>4339</v>
      </c>
      <c r="F48">
        <v>3934.68</v>
      </c>
    </row>
    <row r="49" spans="1:6" x14ac:dyDescent="0.3">
      <c r="A49" t="s">
        <v>142</v>
      </c>
      <c r="B49">
        <v>1755</v>
      </c>
      <c r="C49">
        <v>1000</v>
      </c>
      <c r="D49">
        <v>230.82</v>
      </c>
      <c r="E49">
        <v>2755</v>
      </c>
      <c r="F49">
        <v>2524.1799999999998</v>
      </c>
    </row>
    <row r="50" spans="1:6" x14ac:dyDescent="0.3">
      <c r="A50" t="s">
        <v>144</v>
      </c>
      <c r="B50">
        <v>2926</v>
      </c>
      <c r="C50">
        <v>150</v>
      </c>
      <c r="D50">
        <v>224.52</v>
      </c>
      <c r="E50">
        <v>3076</v>
      </c>
      <c r="F50">
        <v>2851.48</v>
      </c>
    </row>
    <row r="51" spans="1:6" x14ac:dyDescent="0.3">
      <c r="A51" t="s">
        <v>146</v>
      </c>
      <c r="B51">
        <v>2016</v>
      </c>
      <c r="C51">
        <v>1500</v>
      </c>
      <c r="D51">
        <v>180.81</v>
      </c>
      <c r="E51">
        <v>3516</v>
      </c>
      <c r="F51">
        <v>3335.19</v>
      </c>
    </row>
    <row r="52" spans="1:6" x14ac:dyDescent="0.3">
      <c r="A52" t="s">
        <v>148</v>
      </c>
      <c r="B52">
        <v>1887</v>
      </c>
      <c r="C52">
        <v>950</v>
      </c>
      <c r="D52">
        <v>164.74</v>
      </c>
      <c r="E52">
        <v>2837</v>
      </c>
      <c r="F52">
        <v>2672.26</v>
      </c>
    </row>
    <row r="53" spans="1:6" x14ac:dyDescent="0.3">
      <c r="A53" t="s">
        <v>150</v>
      </c>
      <c r="B53">
        <v>2012</v>
      </c>
      <c r="C53">
        <v>1900</v>
      </c>
      <c r="D53">
        <v>182.29</v>
      </c>
      <c r="E53">
        <v>3912</v>
      </c>
      <c r="F53">
        <v>3729.71</v>
      </c>
    </row>
    <row r="54" spans="1:6" x14ac:dyDescent="0.3">
      <c r="A54" t="s">
        <v>152</v>
      </c>
      <c r="B54">
        <v>1482</v>
      </c>
      <c r="C54">
        <v>1550</v>
      </c>
      <c r="D54">
        <v>157.83000000000001</v>
      </c>
      <c r="E54">
        <v>3032</v>
      </c>
      <c r="F54">
        <v>2874.17</v>
      </c>
    </row>
    <row r="55" spans="1:6" x14ac:dyDescent="0.3">
      <c r="A55" t="s">
        <v>154</v>
      </c>
      <c r="B55">
        <v>2983</v>
      </c>
      <c r="C55">
        <v>850</v>
      </c>
      <c r="D55">
        <v>444.54</v>
      </c>
      <c r="E55">
        <v>3833</v>
      </c>
      <c r="F55">
        <v>3388.46</v>
      </c>
    </row>
    <row r="56" spans="1:6" x14ac:dyDescent="0.3">
      <c r="A56" t="s">
        <v>156</v>
      </c>
      <c r="B56">
        <v>2205</v>
      </c>
      <c r="C56">
        <v>1800</v>
      </c>
      <c r="D56">
        <v>160.05000000000001</v>
      </c>
      <c r="E56">
        <v>4005</v>
      </c>
      <c r="F56">
        <v>3844.95</v>
      </c>
    </row>
    <row r="57" spans="1:6" x14ac:dyDescent="0.3">
      <c r="A57" t="s">
        <v>158</v>
      </c>
      <c r="B57">
        <v>2653</v>
      </c>
      <c r="C57">
        <v>850</v>
      </c>
      <c r="D57">
        <v>314.13</v>
      </c>
      <c r="E57">
        <v>3503</v>
      </c>
      <c r="F57">
        <v>3188.87</v>
      </c>
    </row>
    <row r="58" spans="1:6" x14ac:dyDescent="0.3">
      <c r="A58" t="s">
        <v>160</v>
      </c>
      <c r="B58">
        <v>3201</v>
      </c>
      <c r="C58">
        <v>1400</v>
      </c>
      <c r="D58">
        <v>431.45</v>
      </c>
      <c r="E58">
        <v>4601</v>
      </c>
      <c r="F58">
        <v>4169.55</v>
      </c>
    </row>
    <row r="59" spans="1:6" x14ac:dyDescent="0.3">
      <c r="A59" t="s">
        <v>162</v>
      </c>
      <c r="B59">
        <v>2454</v>
      </c>
      <c r="C59">
        <v>1100</v>
      </c>
      <c r="D59">
        <v>283.13</v>
      </c>
      <c r="E59">
        <v>3554</v>
      </c>
      <c r="F59">
        <v>3270.87</v>
      </c>
    </row>
    <row r="60" spans="1:6" x14ac:dyDescent="0.3">
      <c r="A60" t="s">
        <v>164</v>
      </c>
      <c r="B60">
        <v>2229</v>
      </c>
      <c r="C60">
        <v>1700</v>
      </c>
      <c r="D60">
        <v>302.75</v>
      </c>
      <c r="E60">
        <v>3929</v>
      </c>
      <c r="F60">
        <v>3626.25</v>
      </c>
    </row>
    <row r="61" spans="1:6" x14ac:dyDescent="0.3">
      <c r="A61" t="s">
        <v>166</v>
      </c>
      <c r="B61">
        <v>3614</v>
      </c>
      <c r="C61">
        <v>900</v>
      </c>
      <c r="D61">
        <v>455.21</v>
      </c>
      <c r="E61">
        <v>4514</v>
      </c>
      <c r="F61">
        <v>4058.79</v>
      </c>
    </row>
    <row r="62" spans="1:6" x14ac:dyDescent="0.3">
      <c r="A62" t="s">
        <v>168</v>
      </c>
      <c r="B62">
        <v>1718</v>
      </c>
      <c r="C62">
        <v>400</v>
      </c>
      <c r="D62">
        <v>101.96</v>
      </c>
      <c r="E62">
        <v>2118</v>
      </c>
      <c r="F62">
        <v>2016.04</v>
      </c>
    </row>
    <row r="63" spans="1:6" x14ac:dyDescent="0.3">
      <c r="A63" t="s">
        <v>170</v>
      </c>
      <c r="B63">
        <v>2595</v>
      </c>
      <c r="C63">
        <v>350</v>
      </c>
      <c r="D63">
        <v>228.17</v>
      </c>
      <c r="E63">
        <v>2945</v>
      </c>
      <c r="F63">
        <v>2716.83</v>
      </c>
    </row>
    <row r="64" spans="1:6" x14ac:dyDescent="0.3">
      <c r="A64" t="s">
        <v>172</v>
      </c>
      <c r="B64">
        <v>1419</v>
      </c>
      <c r="C64">
        <v>250</v>
      </c>
      <c r="D64">
        <v>149.38</v>
      </c>
      <c r="E64">
        <v>1669</v>
      </c>
      <c r="F64">
        <v>1519.62</v>
      </c>
    </row>
    <row r="65" spans="1:6" x14ac:dyDescent="0.3">
      <c r="A65" t="s">
        <v>174</v>
      </c>
      <c r="B65">
        <v>3733</v>
      </c>
      <c r="C65">
        <v>950</v>
      </c>
      <c r="D65">
        <v>207.6</v>
      </c>
      <c r="E65">
        <v>4683</v>
      </c>
      <c r="F65">
        <v>4475.3999999999996</v>
      </c>
    </row>
    <row r="66" spans="1:6" x14ac:dyDescent="0.3">
      <c r="A66" t="s">
        <v>176</v>
      </c>
      <c r="B66">
        <v>1606</v>
      </c>
      <c r="C66">
        <v>250</v>
      </c>
      <c r="D66">
        <v>81.819999999999993</v>
      </c>
      <c r="E66">
        <v>1856</v>
      </c>
      <c r="F66">
        <v>1774.18</v>
      </c>
    </row>
    <row r="67" spans="1:6" x14ac:dyDescent="0.3">
      <c r="A67" t="s">
        <v>178</v>
      </c>
      <c r="B67">
        <v>3045</v>
      </c>
      <c r="C67">
        <v>900</v>
      </c>
      <c r="D67">
        <v>204.44</v>
      </c>
      <c r="E67">
        <v>3945</v>
      </c>
      <c r="F67">
        <v>3740.56</v>
      </c>
    </row>
    <row r="68" spans="1:6" x14ac:dyDescent="0.3">
      <c r="A68" t="s">
        <v>180</v>
      </c>
      <c r="B68">
        <v>3760</v>
      </c>
      <c r="C68">
        <v>1700</v>
      </c>
      <c r="D68">
        <v>375.95</v>
      </c>
      <c r="E68">
        <v>5460</v>
      </c>
      <c r="F68">
        <v>5084.05</v>
      </c>
    </row>
    <row r="69" spans="1:6" x14ac:dyDescent="0.3">
      <c r="A69" t="s">
        <v>182</v>
      </c>
      <c r="B69">
        <v>3637</v>
      </c>
      <c r="C69">
        <v>950</v>
      </c>
      <c r="D69">
        <v>339.66</v>
      </c>
      <c r="E69">
        <v>4587</v>
      </c>
      <c r="F69">
        <v>4247.34</v>
      </c>
    </row>
    <row r="70" spans="1:6" x14ac:dyDescent="0.3">
      <c r="A70" t="s">
        <v>184</v>
      </c>
      <c r="B70">
        <v>3649</v>
      </c>
      <c r="C70">
        <v>50</v>
      </c>
      <c r="D70">
        <v>468.67</v>
      </c>
      <c r="E70">
        <v>3699</v>
      </c>
      <c r="F70">
        <v>3230.33</v>
      </c>
    </row>
    <row r="71" spans="1:6" x14ac:dyDescent="0.3">
      <c r="A71" t="s">
        <v>186</v>
      </c>
      <c r="B71">
        <v>3953</v>
      </c>
      <c r="C71">
        <v>1500</v>
      </c>
      <c r="D71">
        <v>421.33</v>
      </c>
      <c r="E71">
        <v>5453</v>
      </c>
      <c r="F71">
        <v>5031.67</v>
      </c>
    </row>
    <row r="72" spans="1:6" x14ac:dyDescent="0.3">
      <c r="A72" t="s">
        <v>188</v>
      </c>
      <c r="B72">
        <v>3214</v>
      </c>
      <c r="C72">
        <v>1000</v>
      </c>
      <c r="D72">
        <v>436.45</v>
      </c>
      <c r="E72">
        <v>4214</v>
      </c>
      <c r="F72">
        <v>3777.55</v>
      </c>
    </row>
    <row r="73" spans="1:6" x14ac:dyDescent="0.3">
      <c r="A73" t="s">
        <v>190</v>
      </c>
      <c r="B73">
        <v>2840</v>
      </c>
      <c r="C73">
        <v>800</v>
      </c>
      <c r="D73">
        <v>169.08</v>
      </c>
      <c r="E73">
        <v>3640</v>
      </c>
      <c r="F73">
        <v>3470.92</v>
      </c>
    </row>
    <row r="74" spans="1:6" x14ac:dyDescent="0.3">
      <c r="A74" t="s">
        <v>192</v>
      </c>
      <c r="B74">
        <v>3422</v>
      </c>
      <c r="C74">
        <v>1150</v>
      </c>
      <c r="D74">
        <v>351.84</v>
      </c>
      <c r="E74">
        <v>4572</v>
      </c>
      <c r="F74">
        <v>4220.16</v>
      </c>
    </row>
    <row r="75" spans="1:6" x14ac:dyDescent="0.3">
      <c r="A75" t="s">
        <v>194</v>
      </c>
      <c r="B75">
        <v>2379</v>
      </c>
      <c r="C75">
        <v>2000</v>
      </c>
      <c r="D75">
        <v>129.07</v>
      </c>
      <c r="E75">
        <v>4379</v>
      </c>
      <c r="F75">
        <v>4249.93</v>
      </c>
    </row>
    <row r="76" spans="1:6" x14ac:dyDescent="0.3">
      <c r="A76" t="s">
        <v>196</v>
      </c>
      <c r="B76">
        <v>1581</v>
      </c>
      <c r="C76">
        <v>450</v>
      </c>
      <c r="D76">
        <v>112.48</v>
      </c>
      <c r="E76">
        <v>2031</v>
      </c>
      <c r="F76">
        <v>1918.52</v>
      </c>
    </row>
    <row r="77" spans="1:6" x14ac:dyDescent="0.3">
      <c r="A77" t="s">
        <v>198</v>
      </c>
      <c r="B77">
        <v>3176</v>
      </c>
      <c r="C77">
        <v>1200</v>
      </c>
      <c r="D77">
        <v>434.51</v>
      </c>
      <c r="E77">
        <v>4376</v>
      </c>
      <c r="F77">
        <v>3941.49</v>
      </c>
    </row>
    <row r="78" spans="1:6" x14ac:dyDescent="0.3">
      <c r="A78" t="s">
        <v>200</v>
      </c>
      <c r="B78">
        <v>2899</v>
      </c>
      <c r="C78">
        <v>900</v>
      </c>
      <c r="D78">
        <v>402.25</v>
      </c>
      <c r="E78">
        <v>3799</v>
      </c>
      <c r="F78">
        <v>3396.75</v>
      </c>
    </row>
    <row r="79" spans="1:6" x14ac:dyDescent="0.3">
      <c r="A79" t="s">
        <v>202</v>
      </c>
      <c r="B79">
        <v>2561</v>
      </c>
      <c r="C79">
        <v>600</v>
      </c>
      <c r="D79">
        <v>249.83</v>
      </c>
      <c r="E79">
        <v>3161</v>
      </c>
      <c r="F79">
        <v>2911.17</v>
      </c>
    </row>
    <row r="80" spans="1:6" x14ac:dyDescent="0.3">
      <c r="A80" t="s">
        <v>204</v>
      </c>
      <c r="B80">
        <v>3137</v>
      </c>
      <c r="C80">
        <v>400</v>
      </c>
      <c r="D80">
        <v>171.46</v>
      </c>
      <c r="E80">
        <v>3537</v>
      </c>
      <c r="F80">
        <v>3365.54</v>
      </c>
    </row>
    <row r="81" spans="1:6" x14ac:dyDescent="0.3">
      <c r="A81" t="s">
        <v>206</v>
      </c>
      <c r="B81">
        <v>1262</v>
      </c>
      <c r="C81">
        <v>800</v>
      </c>
      <c r="D81">
        <v>72.48</v>
      </c>
      <c r="E81">
        <v>2062</v>
      </c>
      <c r="F81">
        <v>1989.52</v>
      </c>
    </row>
    <row r="82" spans="1:6" x14ac:dyDescent="0.3">
      <c r="A82" t="s">
        <v>208</v>
      </c>
      <c r="B82">
        <v>2497</v>
      </c>
      <c r="C82">
        <v>750</v>
      </c>
      <c r="D82">
        <v>355.97</v>
      </c>
      <c r="E82">
        <v>3247</v>
      </c>
      <c r="F82">
        <v>2891.03</v>
      </c>
    </row>
    <row r="83" spans="1:6" x14ac:dyDescent="0.3">
      <c r="A83" t="s">
        <v>210</v>
      </c>
      <c r="B83">
        <v>1611</v>
      </c>
      <c r="C83">
        <v>100</v>
      </c>
      <c r="D83">
        <v>225.43</v>
      </c>
      <c r="E83">
        <v>1711</v>
      </c>
      <c r="F83">
        <v>1485.57</v>
      </c>
    </row>
    <row r="84" spans="1:6" x14ac:dyDescent="0.3">
      <c r="A84" t="s">
        <v>212</v>
      </c>
      <c r="B84">
        <v>2200</v>
      </c>
      <c r="C84">
        <v>500</v>
      </c>
      <c r="D84">
        <v>233.97</v>
      </c>
      <c r="E84">
        <v>2700</v>
      </c>
      <c r="F84">
        <v>2466.0300000000002</v>
      </c>
    </row>
    <row r="85" spans="1:6" x14ac:dyDescent="0.3">
      <c r="A85" t="s">
        <v>214</v>
      </c>
      <c r="B85">
        <v>3238</v>
      </c>
      <c r="C85">
        <v>800</v>
      </c>
      <c r="D85">
        <v>172.55</v>
      </c>
      <c r="E85">
        <v>4038</v>
      </c>
      <c r="F85">
        <v>3865.45</v>
      </c>
    </row>
    <row r="86" spans="1:6" x14ac:dyDescent="0.3">
      <c r="A86" t="s">
        <v>216</v>
      </c>
      <c r="B86">
        <v>1847</v>
      </c>
      <c r="C86">
        <v>2000</v>
      </c>
      <c r="D86">
        <v>263.89</v>
      </c>
      <c r="E86">
        <v>3847</v>
      </c>
      <c r="F86">
        <v>3583.11</v>
      </c>
    </row>
    <row r="87" spans="1:6" x14ac:dyDescent="0.3">
      <c r="A87" t="s">
        <v>218</v>
      </c>
      <c r="B87">
        <v>3179</v>
      </c>
      <c r="C87">
        <v>1800</v>
      </c>
      <c r="D87">
        <v>258.92</v>
      </c>
      <c r="E87">
        <v>4979</v>
      </c>
      <c r="F87">
        <v>4720.08</v>
      </c>
    </row>
    <row r="88" spans="1:6" x14ac:dyDescent="0.3">
      <c r="A88" t="s">
        <v>220</v>
      </c>
      <c r="B88">
        <v>1400</v>
      </c>
      <c r="C88">
        <v>700</v>
      </c>
      <c r="D88">
        <v>204.61</v>
      </c>
      <c r="E88">
        <v>2100</v>
      </c>
      <c r="F88">
        <v>1895.39</v>
      </c>
    </row>
    <row r="89" spans="1:6" x14ac:dyDescent="0.3">
      <c r="A89" t="s">
        <v>222</v>
      </c>
      <c r="B89">
        <v>3900</v>
      </c>
      <c r="C89">
        <v>100</v>
      </c>
      <c r="D89">
        <v>423.94</v>
      </c>
      <c r="E89">
        <v>4000</v>
      </c>
      <c r="F89">
        <v>3576.06</v>
      </c>
    </row>
    <row r="90" spans="1:6" x14ac:dyDescent="0.3">
      <c r="A90" t="s">
        <v>224</v>
      </c>
      <c r="B90">
        <v>2538</v>
      </c>
      <c r="C90">
        <v>1150</v>
      </c>
      <c r="D90">
        <v>317.82</v>
      </c>
      <c r="E90">
        <v>3688</v>
      </c>
      <c r="F90">
        <v>3370.18</v>
      </c>
    </row>
    <row r="91" spans="1:6" x14ac:dyDescent="0.3">
      <c r="A91" t="s">
        <v>226</v>
      </c>
      <c r="B91">
        <v>2587</v>
      </c>
      <c r="C91">
        <v>1250</v>
      </c>
      <c r="D91">
        <v>313.73</v>
      </c>
      <c r="E91">
        <v>3837</v>
      </c>
      <c r="F91">
        <v>3523.27</v>
      </c>
    </row>
    <row r="92" spans="1:6" x14ac:dyDescent="0.3">
      <c r="A92" t="s">
        <v>228</v>
      </c>
      <c r="B92">
        <v>3062</v>
      </c>
      <c r="C92">
        <v>2000</v>
      </c>
      <c r="D92">
        <v>275.06</v>
      </c>
      <c r="E92">
        <v>5062</v>
      </c>
      <c r="F92">
        <v>4786.9399999999996</v>
      </c>
    </row>
    <row r="93" spans="1:6" x14ac:dyDescent="0.3">
      <c r="A93" t="s">
        <v>230</v>
      </c>
      <c r="B93">
        <v>3499</v>
      </c>
      <c r="C93">
        <v>2000</v>
      </c>
      <c r="D93">
        <v>201.87</v>
      </c>
      <c r="E93">
        <v>5499</v>
      </c>
      <c r="F93">
        <v>5297.13</v>
      </c>
    </row>
    <row r="94" spans="1:6" x14ac:dyDescent="0.3">
      <c r="A94" t="s">
        <v>232</v>
      </c>
      <c r="B94">
        <v>2446</v>
      </c>
      <c r="C94">
        <v>400</v>
      </c>
      <c r="D94">
        <v>162.04</v>
      </c>
      <c r="E94">
        <v>2846</v>
      </c>
      <c r="F94">
        <v>2683.96</v>
      </c>
    </row>
    <row r="95" spans="1:6" x14ac:dyDescent="0.3">
      <c r="A95" t="s">
        <v>234</v>
      </c>
      <c r="B95">
        <v>1832</v>
      </c>
      <c r="C95">
        <v>1950</v>
      </c>
      <c r="D95">
        <v>135.65</v>
      </c>
      <c r="E95">
        <v>3782</v>
      </c>
      <c r="F95">
        <v>3646.35</v>
      </c>
    </row>
    <row r="96" spans="1:6" x14ac:dyDescent="0.3">
      <c r="A96" t="s">
        <v>236</v>
      </c>
      <c r="B96">
        <v>2167</v>
      </c>
      <c r="C96">
        <v>1100</v>
      </c>
      <c r="D96">
        <v>289.22000000000003</v>
      </c>
      <c r="E96">
        <v>3267</v>
      </c>
      <c r="F96">
        <v>2977.78</v>
      </c>
    </row>
    <row r="97" spans="1:6" x14ac:dyDescent="0.3">
      <c r="A97" t="s">
        <v>238</v>
      </c>
      <c r="B97">
        <v>3062</v>
      </c>
      <c r="C97">
        <v>1900</v>
      </c>
      <c r="D97">
        <v>272.26</v>
      </c>
      <c r="E97">
        <v>4962</v>
      </c>
      <c r="F97">
        <v>4689.74</v>
      </c>
    </row>
    <row r="98" spans="1:6" x14ac:dyDescent="0.3">
      <c r="A98" t="s">
        <v>240</v>
      </c>
      <c r="B98">
        <v>2040</v>
      </c>
      <c r="C98">
        <v>700</v>
      </c>
      <c r="D98">
        <v>284.89</v>
      </c>
      <c r="E98">
        <v>2740</v>
      </c>
      <c r="F98">
        <v>2455.11</v>
      </c>
    </row>
    <row r="99" spans="1:6" x14ac:dyDescent="0.3">
      <c r="A99" t="s">
        <v>242</v>
      </c>
      <c r="B99">
        <v>1792</v>
      </c>
      <c r="C99">
        <v>350</v>
      </c>
      <c r="D99">
        <v>149.05000000000001</v>
      </c>
      <c r="E99">
        <v>2142</v>
      </c>
      <c r="F99">
        <v>1992.95</v>
      </c>
    </row>
    <row r="100" spans="1:6" x14ac:dyDescent="0.3">
      <c r="A100" t="s">
        <v>244</v>
      </c>
      <c r="B100">
        <v>1264</v>
      </c>
      <c r="C100">
        <v>1650</v>
      </c>
      <c r="D100">
        <v>158.71</v>
      </c>
      <c r="E100">
        <v>2914</v>
      </c>
      <c r="F100">
        <v>2755.29</v>
      </c>
    </row>
    <row r="101" spans="1:6" x14ac:dyDescent="0.3">
      <c r="A101" t="s">
        <v>246</v>
      </c>
      <c r="B101">
        <v>1646</v>
      </c>
      <c r="C101">
        <v>100</v>
      </c>
      <c r="D101">
        <v>105.34</v>
      </c>
      <c r="E101">
        <v>1746</v>
      </c>
      <c r="F101">
        <v>1640.66</v>
      </c>
    </row>
    <row r="102" spans="1:6" x14ac:dyDescent="0.3">
      <c r="A102" t="s">
        <v>248</v>
      </c>
      <c r="B102">
        <v>2946</v>
      </c>
      <c r="C102">
        <v>1000</v>
      </c>
      <c r="D102">
        <v>438.51</v>
      </c>
      <c r="E102">
        <v>3946</v>
      </c>
      <c r="F102">
        <v>3507.49</v>
      </c>
    </row>
    <row r="103" spans="1:6" x14ac:dyDescent="0.3">
      <c r="A103" t="s">
        <v>250</v>
      </c>
      <c r="B103">
        <v>2531</v>
      </c>
      <c r="C103">
        <v>1600</v>
      </c>
      <c r="D103">
        <v>309.83999999999997</v>
      </c>
      <c r="E103">
        <v>4131</v>
      </c>
      <c r="F103">
        <v>3821.16</v>
      </c>
    </row>
    <row r="104" spans="1:6" x14ac:dyDescent="0.3">
      <c r="A104" t="s">
        <v>252</v>
      </c>
      <c r="B104">
        <v>2135</v>
      </c>
      <c r="C104">
        <v>300</v>
      </c>
      <c r="D104">
        <v>213.67</v>
      </c>
      <c r="E104">
        <v>2435</v>
      </c>
      <c r="F104">
        <v>2221.33</v>
      </c>
    </row>
    <row r="105" spans="1:6" x14ac:dyDescent="0.3">
      <c r="A105" t="s">
        <v>254</v>
      </c>
      <c r="B105">
        <v>1825</v>
      </c>
      <c r="C105">
        <v>250</v>
      </c>
      <c r="D105">
        <v>269.06</v>
      </c>
      <c r="E105">
        <v>2075</v>
      </c>
      <c r="F105">
        <v>1805.94</v>
      </c>
    </row>
    <row r="106" spans="1:6" x14ac:dyDescent="0.3">
      <c r="A106" t="s">
        <v>256</v>
      </c>
      <c r="B106">
        <v>3944</v>
      </c>
      <c r="C106">
        <v>1350</v>
      </c>
      <c r="D106">
        <v>218.38</v>
      </c>
      <c r="E106">
        <v>5294</v>
      </c>
      <c r="F106">
        <v>5075.62</v>
      </c>
    </row>
    <row r="107" spans="1:6" x14ac:dyDescent="0.3">
      <c r="A107" t="s">
        <v>258</v>
      </c>
      <c r="B107">
        <v>2071</v>
      </c>
      <c r="C107">
        <v>1100</v>
      </c>
      <c r="D107">
        <v>194.07</v>
      </c>
      <c r="E107">
        <v>3171</v>
      </c>
      <c r="F107">
        <v>2976.93</v>
      </c>
    </row>
    <row r="108" spans="1:6" x14ac:dyDescent="0.3">
      <c r="A108" t="s">
        <v>260</v>
      </c>
      <c r="B108">
        <v>3497</v>
      </c>
      <c r="C108">
        <v>850</v>
      </c>
      <c r="D108">
        <v>468.13</v>
      </c>
      <c r="E108">
        <v>4347</v>
      </c>
      <c r="F108">
        <v>3878.87</v>
      </c>
    </row>
    <row r="109" spans="1:6" x14ac:dyDescent="0.3">
      <c r="A109" t="s">
        <v>262</v>
      </c>
      <c r="B109">
        <v>2637</v>
      </c>
      <c r="C109">
        <v>1250</v>
      </c>
      <c r="D109">
        <v>221.66</v>
      </c>
      <c r="E109">
        <v>3887</v>
      </c>
      <c r="F109">
        <v>3665.34</v>
      </c>
    </row>
    <row r="110" spans="1:6" x14ac:dyDescent="0.3">
      <c r="A110" t="s">
        <v>264</v>
      </c>
      <c r="B110">
        <v>2919</v>
      </c>
      <c r="C110">
        <v>1000</v>
      </c>
      <c r="D110">
        <v>370.42</v>
      </c>
      <c r="E110">
        <v>3919</v>
      </c>
      <c r="F110">
        <v>3548.58</v>
      </c>
    </row>
    <row r="111" spans="1:6" x14ac:dyDescent="0.3">
      <c r="A111" t="s">
        <v>266</v>
      </c>
      <c r="B111">
        <v>2314</v>
      </c>
      <c r="C111">
        <v>1400</v>
      </c>
      <c r="D111">
        <v>336.65</v>
      </c>
      <c r="E111">
        <v>3714</v>
      </c>
      <c r="F111">
        <v>3377.35</v>
      </c>
    </row>
    <row r="112" spans="1:6" x14ac:dyDescent="0.3">
      <c r="A112" t="s">
        <v>268</v>
      </c>
      <c r="B112">
        <v>1654</v>
      </c>
      <c r="C112">
        <v>950</v>
      </c>
      <c r="D112">
        <v>148.31</v>
      </c>
      <c r="E112">
        <v>2604</v>
      </c>
      <c r="F112">
        <v>2455.69</v>
      </c>
    </row>
    <row r="113" spans="1:6" x14ac:dyDescent="0.3">
      <c r="A113" t="s">
        <v>270</v>
      </c>
      <c r="B113">
        <v>2065</v>
      </c>
      <c r="C113">
        <v>0</v>
      </c>
      <c r="D113">
        <v>262.99</v>
      </c>
      <c r="E113">
        <v>2065</v>
      </c>
      <c r="F113">
        <v>1802.01</v>
      </c>
    </row>
    <row r="114" spans="1:6" x14ac:dyDescent="0.3">
      <c r="A114" t="s">
        <v>272</v>
      </c>
      <c r="B114">
        <v>2142</v>
      </c>
      <c r="C114">
        <v>100</v>
      </c>
      <c r="D114">
        <v>113.45</v>
      </c>
      <c r="E114">
        <v>2242</v>
      </c>
      <c r="F114">
        <v>2128.5500000000002</v>
      </c>
    </row>
    <row r="115" spans="1:6" x14ac:dyDescent="0.3">
      <c r="A115" t="s">
        <v>274</v>
      </c>
      <c r="B115">
        <v>3548</v>
      </c>
      <c r="C115">
        <v>1250</v>
      </c>
      <c r="D115">
        <v>274.38</v>
      </c>
      <c r="E115">
        <v>4798</v>
      </c>
      <c r="F115">
        <v>4523.62</v>
      </c>
    </row>
    <row r="116" spans="1:6" x14ac:dyDescent="0.3">
      <c r="A116" t="s">
        <v>276</v>
      </c>
      <c r="B116">
        <v>2682</v>
      </c>
      <c r="C116">
        <v>1850</v>
      </c>
      <c r="D116">
        <v>400.31</v>
      </c>
      <c r="E116">
        <v>4532</v>
      </c>
      <c r="F116">
        <v>4131.6899999999996</v>
      </c>
    </row>
    <row r="117" spans="1:6" x14ac:dyDescent="0.3">
      <c r="A117" t="s">
        <v>278</v>
      </c>
      <c r="B117">
        <v>2107</v>
      </c>
      <c r="C117">
        <v>350</v>
      </c>
      <c r="D117">
        <v>208.72</v>
      </c>
      <c r="E117">
        <v>2457</v>
      </c>
      <c r="F117">
        <v>2248.2800000000002</v>
      </c>
    </row>
    <row r="118" spans="1:6" x14ac:dyDescent="0.3">
      <c r="A118" t="s">
        <v>280</v>
      </c>
      <c r="B118">
        <v>1799</v>
      </c>
      <c r="C118">
        <v>200</v>
      </c>
      <c r="D118">
        <v>153.96</v>
      </c>
      <c r="E118">
        <v>1999</v>
      </c>
      <c r="F118">
        <v>1845.04</v>
      </c>
    </row>
    <row r="119" spans="1:6" x14ac:dyDescent="0.3">
      <c r="A119" t="s">
        <v>282</v>
      </c>
      <c r="B119">
        <v>3512</v>
      </c>
      <c r="C119">
        <v>200</v>
      </c>
      <c r="D119">
        <v>506.13</v>
      </c>
      <c r="E119">
        <v>3712</v>
      </c>
      <c r="F119">
        <v>3205.87</v>
      </c>
    </row>
    <row r="120" spans="1:6" x14ac:dyDescent="0.3">
      <c r="A120" t="s">
        <v>284</v>
      </c>
      <c r="B120">
        <v>1503</v>
      </c>
      <c r="C120">
        <v>1150</v>
      </c>
      <c r="D120">
        <v>140.06</v>
      </c>
      <c r="E120">
        <v>2653</v>
      </c>
      <c r="F120">
        <v>2512.94</v>
      </c>
    </row>
    <row r="121" spans="1:6" x14ac:dyDescent="0.3">
      <c r="A121" t="s">
        <v>286</v>
      </c>
      <c r="B121">
        <v>1368</v>
      </c>
      <c r="C121">
        <v>1500</v>
      </c>
      <c r="D121">
        <v>161.38</v>
      </c>
      <c r="E121">
        <v>2868</v>
      </c>
      <c r="F121">
        <v>2706.62</v>
      </c>
    </row>
    <row r="122" spans="1:6" x14ac:dyDescent="0.3">
      <c r="A122" t="s">
        <v>288</v>
      </c>
      <c r="B122">
        <v>1545</v>
      </c>
      <c r="C122">
        <v>1400</v>
      </c>
      <c r="D122">
        <v>179.32</v>
      </c>
      <c r="E122">
        <v>2945</v>
      </c>
      <c r="F122">
        <v>2765.68</v>
      </c>
    </row>
    <row r="123" spans="1:6" x14ac:dyDescent="0.3">
      <c r="A123" t="s">
        <v>290</v>
      </c>
      <c r="B123">
        <v>2358</v>
      </c>
      <c r="C123">
        <v>150</v>
      </c>
      <c r="D123">
        <v>138.11000000000001</v>
      </c>
      <c r="E123">
        <v>2508</v>
      </c>
      <c r="F123">
        <v>2369.89</v>
      </c>
    </row>
    <row r="124" spans="1:6" x14ac:dyDescent="0.3">
      <c r="A124" t="s">
        <v>292</v>
      </c>
      <c r="B124">
        <v>2363</v>
      </c>
      <c r="C124">
        <v>1050</v>
      </c>
      <c r="D124">
        <v>264.33</v>
      </c>
      <c r="E124">
        <v>3413</v>
      </c>
      <c r="F124">
        <v>3148.67</v>
      </c>
    </row>
    <row r="125" spans="1:6" x14ac:dyDescent="0.3">
      <c r="A125" t="s">
        <v>294</v>
      </c>
      <c r="B125">
        <v>1547</v>
      </c>
      <c r="C125">
        <v>400</v>
      </c>
      <c r="D125">
        <v>200.81</v>
      </c>
      <c r="E125">
        <v>1947</v>
      </c>
      <c r="F125">
        <v>1746.19</v>
      </c>
    </row>
    <row r="126" spans="1:6" x14ac:dyDescent="0.3">
      <c r="A126" t="s">
        <v>296</v>
      </c>
      <c r="B126">
        <v>1938</v>
      </c>
      <c r="C126">
        <v>400</v>
      </c>
      <c r="D126">
        <v>235.1</v>
      </c>
      <c r="E126">
        <v>2338</v>
      </c>
      <c r="F126">
        <v>2102.9</v>
      </c>
    </row>
    <row r="127" spans="1:6" x14ac:dyDescent="0.3">
      <c r="A127" t="s">
        <v>298</v>
      </c>
      <c r="B127">
        <v>3356</v>
      </c>
      <c r="C127">
        <v>400</v>
      </c>
      <c r="D127">
        <v>195.33</v>
      </c>
      <c r="E127">
        <v>3756</v>
      </c>
      <c r="F127">
        <v>3560.67</v>
      </c>
    </row>
    <row r="128" spans="1:6" x14ac:dyDescent="0.3">
      <c r="A128" t="s">
        <v>300</v>
      </c>
      <c r="B128">
        <v>1378</v>
      </c>
      <c r="C128">
        <v>900</v>
      </c>
      <c r="D128">
        <v>90.15</v>
      </c>
      <c r="E128">
        <v>2278</v>
      </c>
      <c r="F128">
        <v>2187.85</v>
      </c>
    </row>
    <row r="129" spans="1:6" x14ac:dyDescent="0.3">
      <c r="A129" t="s">
        <v>302</v>
      </c>
      <c r="B129">
        <v>3121</v>
      </c>
      <c r="C129">
        <v>900</v>
      </c>
      <c r="D129">
        <v>378.16</v>
      </c>
      <c r="E129">
        <v>4021</v>
      </c>
      <c r="F129">
        <v>3642.84</v>
      </c>
    </row>
    <row r="130" spans="1:6" x14ac:dyDescent="0.3">
      <c r="A130" t="s">
        <v>304</v>
      </c>
      <c r="B130">
        <v>3676</v>
      </c>
      <c r="C130">
        <v>1150</v>
      </c>
      <c r="D130">
        <v>416.82</v>
      </c>
      <c r="E130">
        <v>4826</v>
      </c>
      <c r="F130">
        <v>4409.18</v>
      </c>
    </row>
    <row r="131" spans="1:6" x14ac:dyDescent="0.3">
      <c r="A131" t="s">
        <v>306</v>
      </c>
      <c r="B131">
        <v>2317</v>
      </c>
      <c r="C131">
        <v>250</v>
      </c>
      <c r="D131">
        <v>287.23</v>
      </c>
      <c r="E131">
        <v>2567</v>
      </c>
      <c r="F131">
        <v>2279.77</v>
      </c>
    </row>
    <row r="132" spans="1:6" x14ac:dyDescent="0.3">
      <c r="A132" t="s">
        <v>308</v>
      </c>
      <c r="B132">
        <v>2731</v>
      </c>
      <c r="C132">
        <v>50</v>
      </c>
      <c r="D132">
        <v>223.03</v>
      </c>
      <c r="E132">
        <v>2781</v>
      </c>
      <c r="F132">
        <v>2557.9699999999998</v>
      </c>
    </row>
    <row r="133" spans="1:6" x14ac:dyDescent="0.3">
      <c r="A133" t="s">
        <v>310</v>
      </c>
      <c r="B133">
        <v>3135</v>
      </c>
      <c r="C133">
        <v>0</v>
      </c>
      <c r="D133">
        <v>190.15</v>
      </c>
      <c r="E133">
        <v>3135</v>
      </c>
      <c r="F133">
        <v>2944.85</v>
      </c>
    </row>
    <row r="134" spans="1:6" x14ac:dyDescent="0.3">
      <c r="A134" t="s">
        <v>312</v>
      </c>
      <c r="B134">
        <v>3693</v>
      </c>
      <c r="C134">
        <v>750</v>
      </c>
      <c r="D134">
        <v>186.57</v>
      </c>
      <c r="E134">
        <v>4443</v>
      </c>
      <c r="F134">
        <v>4256.43</v>
      </c>
    </row>
    <row r="135" spans="1:6" x14ac:dyDescent="0.3">
      <c r="A135" t="s">
        <v>314</v>
      </c>
      <c r="B135">
        <v>3751</v>
      </c>
      <c r="C135">
        <v>1900</v>
      </c>
      <c r="D135">
        <v>303.18</v>
      </c>
      <c r="E135">
        <v>5651</v>
      </c>
      <c r="F135">
        <v>5347.82</v>
      </c>
    </row>
    <row r="136" spans="1:6" x14ac:dyDescent="0.3">
      <c r="A136" t="s">
        <v>316</v>
      </c>
      <c r="B136">
        <v>1206</v>
      </c>
      <c r="C136">
        <v>550</v>
      </c>
      <c r="D136">
        <v>103.71</v>
      </c>
      <c r="E136">
        <v>1756</v>
      </c>
      <c r="F136">
        <v>1652.29</v>
      </c>
    </row>
    <row r="137" spans="1:6" x14ac:dyDescent="0.3">
      <c r="A137" t="s">
        <v>318</v>
      </c>
      <c r="B137">
        <v>3279</v>
      </c>
      <c r="C137">
        <v>100</v>
      </c>
      <c r="D137">
        <v>252.41</v>
      </c>
      <c r="E137">
        <v>3379</v>
      </c>
      <c r="F137">
        <v>3126.59</v>
      </c>
    </row>
    <row r="138" spans="1:6" x14ac:dyDescent="0.3">
      <c r="A138" t="s">
        <v>320</v>
      </c>
      <c r="B138">
        <v>1476</v>
      </c>
      <c r="C138">
        <v>1050</v>
      </c>
      <c r="D138">
        <v>93.36</v>
      </c>
      <c r="E138">
        <v>2526</v>
      </c>
      <c r="F138">
        <v>2432.64</v>
      </c>
    </row>
    <row r="139" spans="1:6" x14ac:dyDescent="0.3">
      <c r="A139" t="s">
        <v>322</v>
      </c>
      <c r="B139">
        <v>1917</v>
      </c>
      <c r="C139">
        <v>400</v>
      </c>
      <c r="D139">
        <v>131.77000000000001</v>
      </c>
      <c r="E139">
        <v>2317</v>
      </c>
      <c r="F139">
        <v>2185.23</v>
      </c>
    </row>
    <row r="140" spans="1:6" x14ac:dyDescent="0.3">
      <c r="A140" t="s">
        <v>324</v>
      </c>
      <c r="B140">
        <v>1371</v>
      </c>
      <c r="C140">
        <v>1500</v>
      </c>
      <c r="D140">
        <v>130.09</v>
      </c>
      <c r="E140">
        <v>2871</v>
      </c>
      <c r="F140">
        <v>2740.91</v>
      </c>
    </row>
    <row r="141" spans="1:6" x14ac:dyDescent="0.3">
      <c r="A141" t="s">
        <v>326</v>
      </c>
      <c r="B141">
        <v>1395</v>
      </c>
      <c r="C141">
        <v>1350</v>
      </c>
      <c r="D141">
        <v>147.13999999999999</v>
      </c>
      <c r="E141">
        <v>2745</v>
      </c>
      <c r="F141">
        <v>2597.86</v>
      </c>
    </row>
    <row r="142" spans="1:6" x14ac:dyDescent="0.3">
      <c r="A142" t="s">
        <v>328</v>
      </c>
      <c r="B142">
        <v>3237</v>
      </c>
      <c r="C142">
        <v>1350</v>
      </c>
      <c r="D142">
        <v>293.93</v>
      </c>
      <c r="E142">
        <v>4587</v>
      </c>
      <c r="F142">
        <v>4293.07</v>
      </c>
    </row>
    <row r="143" spans="1:6" x14ac:dyDescent="0.3">
      <c r="A143" t="s">
        <v>330</v>
      </c>
      <c r="B143">
        <v>1620</v>
      </c>
      <c r="C143">
        <v>1900</v>
      </c>
      <c r="D143">
        <v>85.25</v>
      </c>
      <c r="E143">
        <v>3520</v>
      </c>
      <c r="F143">
        <v>3434.75</v>
      </c>
    </row>
    <row r="144" spans="1:6" x14ac:dyDescent="0.3">
      <c r="A144" t="s">
        <v>332</v>
      </c>
      <c r="B144">
        <v>3718</v>
      </c>
      <c r="C144">
        <v>2000</v>
      </c>
      <c r="D144">
        <v>317.49</v>
      </c>
      <c r="E144">
        <v>5718</v>
      </c>
      <c r="F144">
        <v>5400.51</v>
      </c>
    </row>
    <row r="145" spans="1:6" x14ac:dyDescent="0.3">
      <c r="A145" t="s">
        <v>334</v>
      </c>
      <c r="B145">
        <v>1784</v>
      </c>
      <c r="C145">
        <v>200</v>
      </c>
      <c r="D145">
        <v>105.8</v>
      </c>
      <c r="E145">
        <v>1984</v>
      </c>
      <c r="F145">
        <v>1878.2</v>
      </c>
    </row>
    <row r="146" spans="1:6" x14ac:dyDescent="0.3">
      <c r="A146" t="s">
        <v>336</v>
      </c>
      <c r="B146">
        <v>3981</v>
      </c>
      <c r="C146">
        <v>1800</v>
      </c>
      <c r="D146">
        <v>437.13</v>
      </c>
      <c r="E146">
        <v>5781</v>
      </c>
      <c r="F146">
        <v>5343.87</v>
      </c>
    </row>
    <row r="147" spans="1:6" x14ac:dyDescent="0.3">
      <c r="A147" t="s">
        <v>338</v>
      </c>
      <c r="B147">
        <v>2222</v>
      </c>
      <c r="C147">
        <v>1200</v>
      </c>
      <c r="D147">
        <v>183.19</v>
      </c>
      <c r="E147">
        <v>3422</v>
      </c>
      <c r="F147">
        <v>3238.81</v>
      </c>
    </row>
    <row r="148" spans="1:6" x14ac:dyDescent="0.3">
      <c r="A148" t="s">
        <v>340</v>
      </c>
      <c r="B148">
        <v>3706</v>
      </c>
      <c r="C148">
        <v>400</v>
      </c>
      <c r="D148">
        <v>328.07</v>
      </c>
      <c r="E148">
        <v>4106</v>
      </c>
      <c r="F148">
        <v>3777.93</v>
      </c>
    </row>
    <row r="149" spans="1:6" x14ac:dyDescent="0.3">
      <c r="A149" t="s">
        <v>342</v>
      </c>
      <c r="B149">
        <v>3993</v>
      </c>
      <c r="C149">
        <v>1750</v>
      </c>
      <c r="D149">
        <v>316.18</v>
      </c>
      <c r="E149">
        <v>5743</v>
      </c>
      <c r="F149">
        <v>5426.82</v>
      </c>
    </row>
    <row r="150" spans="1:6" x14ac:dyDescent="0.3">
      <c r="A150" t="s">
        <v>344</v>
      </c>
      <c r="B150">
        <v>3283</v>
      </c>
      <c r="C150">
        <v>750</v>
      </c>
      <c r="D150">
        <v>291.45999999999998</v>
      </c>
      <c r="E150">
        <v>4033</v>
      </c>
      <c r="F150">
        <v>3741.54</v>
      </c>
    </row>
    <row r="151" spans="1:6" x14ac:dyDescent="0.3">
      <c r="A151" t="s">
        <v>346</v>
      </c>
      <c r="B151">
        <v>3459</v>
      </c>
      <c r="C151">
        <v>1250</v>
      </c>
      <c r="D151">
        <v>202.25</v>
      </c>
      <c r="E151">
        <v>4709</v>
      </c>
      <c r="F151">
        <v>4506.75</v>
      </c>
    </row>
    <row r="152" spans="1:6" x14ac:dyDescent="0.3">
      <c r="A152" t="s">
        <v>348</v>
      </c>
      <c r="B152">
        <v>3831</v>
      </c>
      <c r="C152">
        <v>1100</v>
      </c>
      <c r="D152">
        <v>536.78</v>
      </c>
      <c r="E152">
        <v>4931</v>
      </c>
      <c r="F152">
        <v>4394.22</v>
      </c>
    </row>
    <row r="153" spans="1:6" x14ac:dyDescent="0.3">
      <c r="A153" t="s">
        <v>350</v>
      </c>
      <c r="B153">
        <v>1426</v>
      </c>
      <c r="C153">
        <v>500</v>
      </c>
      <c r="D153">
        <v>200.38</v>
      </c>
      <c r="E153">
        <v>1926</v>
      </c>
      <c r="F153">
        <v>1725.62</v>
      </c>
    </row>
    <row r="154" spans="1:6" x14ac:dyDescent="0.3">
      <c r="A154" t="s">
        <v>352</v>
      </c>
      <c r="B154">
        <v>2226</v>
      </c>
      <c r="C154">
        <v>2000</v>
      </c>
      <c r="D154">
        <v>329.04</v>
      </c>
      <c r="E154">
        <v>4226</v>
      </c>
      <c r="F154">
        <v>3896.96</v>
      </c>
    </row>
    <row r="155" spans="1:6" x14ac:dyDescent="0.3">
      <c r="A155" t="s">
        <v>354</v>
      </c>
      <c r="B155">
        <v>3578</v>
      </c>
      <c r="C155">
        <v>1050</v>
      </c>
      <c r="D155">
        <v>383.55</v>
      </c>
      <c r="E155">
        <v>4628</v>
      </c>
      <c r="F155">
        <v>4244.45</v>
      </c>
    </row>
    <row r="156" spans="1:6" x14ac:dyDescent="0.3">
      <c r="A156" t="s">
        <v>356</v>
      </c>
      <c r="B156">
        <v>2063</v>
      </c>
      <c r="C156">
        <v>1550</v>
      </c>
      <c r="D156">
        <v>138.13</v>
      </c>
      <c r="E156">
        <v>3613</v>
      </c>
      <c r="F156">
        <v>3474.87</v>
      </c>
    </row>
    <row r="157" spans="1:6" x14ac:dyDescent="0.3">
      <c r="A157" t="s">
        <v>358</v>
      </c>
      <c r="B157">
        <v>1498</v>
      </c>
      <c r="C157">
        <v>1450</v>
      </c>
      <c r="D157">
        <v>131.93</v>
      </c>
      <c r="E157">
        <v>2948</v>
      </c>
      <c r="F157">
        <v>2816.07</v>
      </c>
    </row>
    <row r="158" spans="1:6" x14ac:dyDescent="0.3">
      <c r="A158" t="s">
        <v>360</v>
      </c>
      <c r="B158">
        <v>2507</v>
      </c>
      <c r="C158">
        <v>1600</v>
      </c>
      <c r="D158">
        <v>160.16</v>
      </c>
      <c r="E158">
        <v>4107</v>
      </c>
      <c r="F158">
        <v>3946.84</v>
      </c>
    </row>
    <row r="159" spans="1:6" x14ac:dyDescent="0.3">
      <c r="A159" t="s">
        <v>362</v>
      </c>
      <c r="B159">
        <v>2215</v>
      </c>
      <c r="C159">
        <v>1950</v>
      </c>
      <c r="D159">
        <v>177.45</v>
      </c>
      <c r="E159">
        <v>4165</v>
      </c>
      <c r="F159">
        <v>3987.55</v>
      </c>
    </row>
    <row r="160" spans="1:6" x14ac:dyDescent="0.3">
      <c r="A160" t="s">
        <v>364</v>
      </c>
      <c r="B160">
        <v>1977</v>
      </c>
      <c r="C160">
        <v>950</v>
      </c>
      <c r="D160">
        <v>196.34</v>
      </c>
      <c r="E160">
        <v>2927</v>
      </c>
      <c r="F160">
        <v>2730.66</v>
      </c>
    </row>
    <row r="161" spans="1:6" x14ac:dyDescent="0.3">
      <c r="A161" t="s">
        <v>366</v>
      </c>
      <c r="B161">
        <v>2186</v>
      </c>
      <c r="C161">
        <v>900</v>
      </c>
      <c r="D161">
        <v>123.13</v>
      </c>
      <c r="E161">
        <v>3086</v>
      </c>
      <c r="F161">
        <v>2962.87</v>
      </c>
    </row>
    <row r="162" spans="1:6" x14ac:dyDescent="0.3">
      <c r="A162" t="s">
        <v>368</v>
      </c>
      <c r="B162">
        <v>2965</v>
      </c>
      <c r="C162">
        <v>1150</v>
      </c>
      <c r="D162">
        <v>277.13</v>
      </c>
      <c r="E162">
        <v>4115</v>
      </c>
      <c r="F162">
        <v>3837.87</v>
      </c>
    </row>
    <row r="163" spans="1:6" x14ac:dyDescent="0.3">
      <c r="A163" t="s">
        <v>370</v>
      </c>
      <c r="B163">
        <v>1501</v>
      </c>
      <c r="C163">
        <v>850</v>
      </c>
      <c r="D163">
        <v>138.26</v>
      </c>
      <c r="E163">
        <v>2351</v>
      </c>
      <c r="F163">
        <v>2212.7399999999998</v>
      </c>
    </row>
    <row r="164" spans="1:6" x14ac:dyDescent="0.3">
      <c r="A164" t="s">
        <v>372</v>
      </c>
      <c r="B164">
        <v>2588</v>
      </c>
      <c r="C164">
        <v>1600</v>
      </c>
      <c r="D164">
        <v>254.72</v>
      </c>
      <c r="E164">
        <v>4188</v>
      </c>
      <c r="F164">
        <v>3933.28</v>
      </c>
    </row>
    <row r="165" spans="1:6" x14ac:dyDescent="0.3">
      <c r="A165" t="s">
        <v>374</v>
      </c>
      <c r="B165">
        <v>3140</v>
      </c>
      <c r="C165">
        <v>400</v>
      </c>
      <c r="D165">
        <v>181.15</v>
      </c>
      <c r="E165">
        <v>3540</v>
      </c>
      <c r="F165">
        <v>3358.85</v>
      </c>
    </row>
    <row r="166" spans="1:6" x14ac:dyDescent="0.3">
      <c r="A166" t="s">
        <v>376</v>
      </c>
      <c r="B166">
        <v>2425</v>
      </c>
      <c r="C166">
        <v>1700</v>
      </c>
      <c r="D166">
        <v>182.29</v>
      </c>
      <c r="E166">
        <v>4125</v>
      </c>
      <c r="F166">
        <v>3942.71</v>
      </c>
    </row>
    <row r="167" spans="1:6" x14ac:dyDescent="0.3">
      <c r="A167" t="s">
        <v>378</v>
      </c>
      <c r="B167">
        <v>1648</v>
      </c>
      <c r="C167">
        <v>50</v>
      </c>
      <c r="D167">
        <v>123.04</v>
      </c>
      <c r="E167">
        <v>1698</v>
      </c>
      <c r="F167">
        <v>1574.96</v>
      </c>
    </row>
    <row r="168" spans="1:6" x14ac:dyDescent="0.3">
      <c r="A168" t="s">
        <v>380</v>
      </c>
      <c r="B168">
        <v>3590</v>
      </c>
      <c r="C168">
        <v>1200</v>
      </c>
      <c r="D168">
        <v>403.89</v>
      </c>
      <c r="E168">
        <v>4790</v>
      </c>
      <c r="F168">
        <v>4386.1099999999997</v>
      </c>
    </row>
    <row r="169" spans="1:6" x14ac:dyDescent="0.3">
      <c r="A169" t="s">
        <v>382</v>
      </c>
      <c r="B169">
        <v>2915</v>
      </c>
      <c r="C169">
        <v>1950</v>
      </c>
      <c r="D169">
        <v>318.83999999999997</v>
      </c>
      <c r="E169">
        <v>4865</v>
      </c>
      <c r="F169">
        <v>4546.16</v>
      </c>
    </row>
    <row r="170" spans="1:6" x14ac:dyDescent="0.3">
      <c r="A170" t="s">
        <v>384</v>
      </c>
      <c r="B170">
        <v>3912</v>
      </c>
      <c r="C170">
        <v>1450</v>
      </c>
      <c r="D170">
        <v>272.10000000000002</v>
      </c>
      <c r="E170">
        <v>5362</v>
      </c>
      <c r="F170">
        <v>5089.8999999999996</v>
      </c>
    </row>
    <row r="171" spans="1:6" x14ac:dyDescent="0.3">
      <c r="A171" t="s">
        <v>386</v>
      </c>
      <c r="B171">
        <v>2342</v>
      </c>
      <c r="C171">
        <v>900</v>
      </c>
      <c r="D171">
        <v>142.15</v>
      </c>
      <c r="E171">
        <v>3242</v>
      </c>
      <c r="F171">
        <v>3099.85</v>
      </c>
    </row>
    <row r="172" spans="1:6" x14ac:dyDescent="0.3">
      <c r="A172" t="s">
        <v>388</v>
      </c>
      <c r="B172">
        <v>2320</v>
      </c>
      <c r="C172">
        <v>1200</v>
      </c>
      <c r="D172">
        <v>186.68</v>
      </c>
      <c r="E172">
        <v>3520</v>
      </c>
      <c r="F172">
        <v>3333.32</v>
      </c>
    </row>
    <row r="173" spans="1:6" x14ac:dyDescent="0.3">
      <c r="A173" t="s">
        <v>390</v>
      </c>
      <c r="B173">
        <v>1523</v>
      </c>
      <c r="C173">
        <v>650</v>
      </c>
      <c r="D173">
        <v>220.66</v>
      </c>
      <c r="E173">
        <v>2173</v>
      </c>
      <c r="F173">
        <v>1952.34</v>
      </c>
    </row>
    <row r="174" spans="1:6" x14ac:dyDescent="0.3">
      <c r="A174" t="s">
        <v>392</v>
      </c>
      <c r="B174">
        <v>3603</v>
      </c>
      <c r="C174">
        <v>700</v>
      </c>
      <c r="D174">
        <v>299.85000000000002</v>
      </c>
      <c r="E174">
        <v>4303</v>
      </c>
      <c r="F174">
        <v>4003.15</v>
      </c>
    </row>
    <row r="175" spans="1:6" x14ac:dyDescent="0.3">
      <c r="A175" t="s">
        <v>394</v>
      </c>
      <c r="B175">
        <v>1611</v>
      </c>
      <c r="C175">
        <v>1300</v>
      </c>
      <c r="D175">
        <v>180.46</v>
      </c>
      <c r="E175">
        <v>2911</v>
      </c>
      <c r="F175">
        <v>2730.54</v>
      </c>
    </row>
    <row r="176" spans="1:6" x14ac:dyDescent="0.3">
      <c r="A176" t="s">
        <v>396</v>
      </c>
      <c r="B176">
        <v>1442</v>
      </c>
      <c r="C176">
        <v>100</v>
      </c>
      <c r="D176">
        <v>188.05</v>
      </c>
      <c r="E176">
        <v>1542</v>
      </c>
      <c r="F176">
        <v>1353.95</v>
      </c>
    </row>
    <row r="177" spans="1:6" x14ac:dyDescent="0.3">
      <c r="A177" t="s">
        <v>398</v>
      </c>
      <c r="B177">
        <v>1963</v>
      </c>
      <c r="C177">
        <v>1900</v>
      </c>
      <c r="D177">
        <v>162.84</v>
      </c>
      <c r="E177">
        <v>3863</v>
      </c>
      <c r="F177">
        <v>3700.16</v>
      </c>
    </row>
    <row r="178" spans="1:6" x14ac:dyDescent="0.3">
      <c r="A178" t="s">
        <v>400</v>
      </c>
      <c r="B178">
        <v>1749</v>
      </c>
      <c r="C178">
        <v>1050</v>
      </c>
      <c r="D178">
        <v>146</v>
      </c>
      <c r="E178">
        <v>2799</v>
      </c>
      <c r="F178">
        <v>2653</v>
      </c>
    </row>
    <row r="179" spans="1:6" x14ac:dyDescent="0.3">
      <c r="A179" t="s">
        <v>402</v>
      </c>
      <c r="B179">
        <v>2408</v>
      </c>
      <c r="C179">
        <v>2000</v>
      </c>
      <c r="D179">
        <v>316.77</v>
      </c>
      <c r="E179">
        <v>4408</v>
      </c>
      <c r="F179">
        <v>4091.23</v>
      </c>
    </row>
    <row r="180" spans="1:6" x14ac:dyDescent="0.3">
      <c r="A180" t="s">
        <v>404</v>
      </c>
      <c r="B180">
        <v>1590</v>
      </c>
      <c r="C180">
        <v>0</v>
      </c>
      <c r="D180">
        <v>216.16</v>
      </c>
      <c r="E180">
        <v>1590</v>
      </c>
      <c r="F180">
        <v>1373.84</v>
      </c>
    </row>
    <row r="181" spans="1:6" x14ac:dyDescent="0.3">
      <c r="A181" t="s">
        <v>406</v>
      </c>
      <c r="B181">
        <v>2436</v>
      </c>
      <c r="C181">
        <v>1150</v>
      </c>
      <c r="D181">
        <v>359.12</v>
      </c>
      <c r="E181">
        <v>3586</v>
      </c>
      <c r="F181">
        <v>3226.88</v>
      </c>
    </row>
    <row r="182" spans="1:6" x14ac:dyDescent="0.3">
      <c r="A182" t="s">
        <v>408</v>
      </c>
      <c r="B182">
        <v>2473</v>
      </c>
      <c r="C182">
        <v>700</v>
      </c>
      <c r="D182">
        <v>157.31</v>
      </c>
      <c r="E182">
        <v>3173</v>
      </c>
      <c r="F182">
        <v>3015.69</v>
      </c>
    </row>
    <row r="183" spans="1:6" x14ac:dyDescent="0.3">
      <c r="A183" t="s">
        <v>410</v>
      </c>
      <c r="B183">
        <v>3681</v>
      </c>
      <c r="C183">
        <v>1700</v>
      </c>
      <c r="D183">
        <v>302.08999999999997</v>
      </c>
      <c r="E183">
        <v>5381</v>
      </c>
      <c r="F183">
        <v>5078.91</v>
      </c>
    </row>
    <row r="184" spans="1:6" x14ac:dyDescent="0.3">
      <c r="A184" t="s">
        <v>412</v>
      </c>
      <c r="B184">
        <v>2681</v>
      </c>
      <c r="C184">
        <v>1600</v>
      </c>
      <c r="D184">
        <v>388.02</v>
      </c>
      <c r="E184">
        <v>4281</v>
      </c>
      <c r="F184">
        <v>3892.98</v>
      </c>
    </row>
    <row r="185" spans="1:6" x14ac:dyDescent="0.3">
      <c r="A185" t="s">
        <v>414</v>
      </c>
      <c r="B185">
        <v>3986</v>
      </c>
      <c r="C185">
        <v>1600</v>
      </c>
      <c r="D185">
        <v>279.36</v>
      </c>
      <c r="E185">
        <v>5586</v>
      </c>
      <c r="F185">
        <v>5306.64</v>
      </c>
    </row>
    <row r="186" spans="1:6" x14ac:dyDescent="0.3">
      <c r="A186" t="s">
        <v>416</v>
      </c>
      <c r="B186">
        <v>3509</v>
      </c>
      <c r="C186">
        <v>50</v>
      </c>
      <c r="D186">
        <v>285.7</v>
      </c>
      <c r="E186">
        <v>3559</v>
      </c>
      <c r="F186">
        <v>3273.3</v>
      </c>
    </row>
    <row r="187" spans="1:6" x14ac:dyDescent="0.3">
      <c r="A187" t="s">
        <v>418</v>
      </c>
      <c r="B187">
        <v>2611</v>
      </c>
      <c r="C187">
        <v>1500</v>
      </c>
      <c r="D187">
        <v>382.4</v>
      </c>
      <c r="E187">
        <v>4111</v>
      </c>
      <c r="F187">
        <v>3728.6</v>
      </c>
    </row>
    <row r="188" spans="1:6" x14ac:dyDescent="0.3">
      <c r="A188" t="s">
        <v>420</v>
      </c>
      <c r="B188">
        <v>3845</v>
      </c>
      <c r="C188">
        <v>1200</v>
      </c>
      <c r="D188">
        <v>564.72</v>
      </c>
      <c r="E188">
        <v>5045</v>
      </c>
      <c r="F188">
        <v>4480.28</v>
      </c>
    </row>
    <row r="189" spans="1:6" x14ac:dyDescent="0.3">
      <c r="A189" t="s">
        <v>422</v>
      </c>
      <c r="B189">
        <v>2809</v>
      </c>
      <c r="C189">
        <v>50</v>
      </c>
      <c r="D189">
        <v>222.32</v>
      </c>
      <c r="E189">
        <v>2859</v>
      </c>
      <c r="F189">
        <v>2636.68</v>
      </c>
    </row>
    <row r="190" spans="1:6" x14ac:dyDescent="0.3">
      <c r="A190" t="s">
        <v>424</v>
      </c>
      <c r="B190">
        <v>2140</v>
      </c>
      <c r="C190">
        <v>600</v>
      </c>
      <c r="D190">
        <v>255.72</v>
      </c>
      <c r="E190">
        <v>2740</v>
      </c>
      <c r="F190">
        <v>2484.2800000000002</v>
      </c>
    </row>
    <row r="191" spans="1:6" x14ac:dyDescent="0.3">
      <c r="A191" t="s">
        <v>426</v>
      </c>
      <c r="B191">
        <v>1475</v>
      </c>
      <c r="C191">
        <v>150</v>
      </c>
      <c r="D191">
        <v>146.16999999999999</v>
      </c>
      <c r="E191">
        <v>1625</v>
      </c>
      <c r="F191">
        <v>1478.83</v>
      </c>
    </row>
    <row r="192" spans="1:6" x14ac:dyDescent="0.3">
      <c r="A192" t="s">
        <v>428</v>
      </c>
      <c r="B192">
        <v>1431</v>
      </c>
      <c r="C192">
        <v>1000</v>
      </c>
      <c r="D192">
        <v>153.96</v>
      </c>
      <c r="E192">
        <v>2431</v>
      </c>
      <c r="F192">
        <v>2277.04</v>
      </c>
    </row>
    <row r="193" spans="1:6" x14ac:dyDescent="0.3">
      <c r="A193" t="s">
        <v>430</v>
      </c>
      <c r="B193">
        <v>2430</v>
      </c>
      <c r="C193">
        <v>550</v>
      </c>
      <c r="D193">
        <v>180.41</v>
      </c>
      <c r="E193">
        <v>2980</v>
      </c>
      <c r="F193">
        <v>2799.59</v>
      </c>
    </row>
    <row r="194" spans="1:6" x14ac:dyDescent="0.3">
      <c r="A194" t="s">
        <v>432</v>
      </c>
      <c r="B194">
        <v>2505</v>
      </c>
      <c r="C194">
        <v>550</v>
      </c>
      <c r="D194">
        <v>219.45</v>
      </c>
      <c r="E194">
        <v>3055</v>
      </c>
      <c r="F194">
        <v>2835.55</v>
      </c>
    </row>
    <row r="195" spans="1:6" x14ac:dyDescent="0.3">
      <c r="A195" t="s">
        <v>434</v>
      </c>
      <c r="B195">
        <v>1436</v>
      </c>
      <c r="C195">
        <v>400</v>
      </c>
      <c r="D195">
        <v>189.05</v>
      </c>
      <c r="E195">
        <v>1836</v>
      </c>
      <c r="F195">
        <v>1646.95</v>
      </c>
    </row>
    <row r="196" spans="1:6" x14ac:dyDescent="0.3">
      <c r="A196" t="s">
        <v>436</v>
      </c>
      <c r="B196">
        <v>3042</v>
      </c>
      <c r="C196">
        <v>150</v>
      </c>
      <c r="D196">
        <v>271.63</v>
      </c>
      <c r="E196">
        <v>3192</v>
      </c>
      <c r="F196">
        <v>2920.37</v>
      </c>
    </row>
    <row r="197" spans="1:6" x14ac:dyDescent="0.3">
      <c r="A197" t="s">
        <v>438</v>
      </c>
      <c r="B197">
        <v>1970</v>
      </c>
      <c r="C197">
        <v>650</v>
      </c>
      <c r="D197">
        <v>120.94</v>
      </c>
      <c r="E197">
        <v>2620</v>
      </c>
      <c r="F197">
        <v>2499.06</v>
      </c>
    </row>
    <row r="198" spans="1:6" x14ac:dyDescent="0.3">
      <c r="A198" t="s">
        <v>440</v>
      </c>
      <c r="B198">
        <v>1680</v>
      </c>
      <c r="C198">
        <v>1250</v>
      </c>
      <c r="D198">
        <v>178.73</v>
      </c>
      <c r="E198">
        <v>2930</v>
      </c>
      <c r="F198">
        <v>2751.27</v>
      </c>
    </row>
    <row r="199" spans="1:6" x14ac:dyDescent="0.3">
      <c r="A199" t="s">
        <v>442</v>
      </c>
      <c r="B199">
        <v>2671</v>
      </c>
      <c r="C199">
        <v>1450</v>
      </c>
      <c r="D199">
        <v>291.73</v>
      </c>
      <c r="E199">
        <v>4121</v>
      </c>
      <c r="F199">
        <v>3829.27</v>
      </c>
    </row>
    <row r="200" spans="1:6" x14ac:dyDescent="0.3">
      <c r="A200" t="s">
        <v>444</v>
      </c>
      <c r="B200">
        <v>1387</v>
      </c>
      <c r="C200">
        <v>1750</v>
      </c>
      <c r="D200">
        <v>145.03</v>
      </c>
      <c r="E200">
        <v>3137</v>
      </c>
      <c r="F200">
        <v>2991.97</v>
      </c>
    </row>
    <row r="201" spans="1:6" x14ac:dyDescent="0.3">
      <c r="A201" t="s">
        <v>446</v>
      </c>
      <c r="B201">
        <v>3533</v>
      </c>
      <c r="C201">
        <v>1050</v>
      </c>
      <c r="D201">
        <v>417.5</v>
      </c>
      <c r="E201">
        <v>4583</v>
      </c>
      <c r="F201">
        <v>4165.5</v>
      </c>
    </row>
  </sheetData>
  <autoFilter ref="A1:A2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3296-80E2-469E-921C-97D772F4D9BC}">
  <dimension ref="A1:N210"/>
  <sheetViews>
    <sheetView workbookViewId="0">
      <selection activeCell="F189" sqref="F189"/>
    </sheetView>
  </sheetViews>
  <sheetFormatPr defaultRowHeight="14.4" x14ac:dyDescent="0.3"/>
  <cols>
    <col min="1" max="1" width="11.109375" bestFit="1" customWidth="1"/>
    <col min="2" max="2" width="11.109375" customWidth="1"/>
    <col min="3" max="3" width="12" bestFit="1" customWidth="1"/>
    <col min="4" max="4" width="12" customWidth="1"/>
    <col min="5" max="5" width="12" bestFit="1" customWidth="1"/>
    <col min="6" max="6" width="12" customWidth="1"/>
    <col min="7" max="7" width="12.6640625" bestFit="1" customWidth="1"/>
    <col min="8" max="8" width="12.6640625" customWidth="1"/>
    <col min="9" max="9" width="12" bestFit="1" customWidth="1"/>
    <col min="10" max="10" width="12" customWidth="1"/>
    <col min="11" max="11" width="12" bestFit="1" customWidth="1"/>
  </cols>
  <sheetData>
    <row r="1" spans="1:14" x14ac:dyDescent="0.3">
      <c r="A1" s="6" t="s">
        <v>0</v>
      </c>
      <c r="B1" s="10" t="s">
        <v>454</v>
      </c>
      <c r="C1" s="6" t="s">
        <v>448</v>
      </c>
      <c r="D1" s="10" t="s">
        <v>455</v>
      </c>
      <c r="E1" s="6" t="s">
        <v>449</v>
      </c>
      <c r="F1" s="10" t="s">
        <v>456</v>
      </c>
      <c r="G1" s="6" t="s">
        <v>450</v>
      </c>
      <c r="H1" s="10" t="s">
        <v>457</v>
      </c>
      <c r="I1" s="6" t="s">
        <v>451</v>
      </c>
      <c r="J1" s="10" t="s">
        <v>458</v>
      </c>
      <c r="K1" s="6" t="s">
        <v>452</v>
      </c>
      <c r="L1" s="11" t="s">
        <v>459</v>
      </c>
    </row>
    <row r="2" spans="1:14" x14ac:dyDescent="0.3">
      <c r="A2" s="7" t="s">
        <v>15</v>
      </c>
      <c r="B2" s="7" t="str">
        <f>IF(A2=SalaryDetails!A2,"1","0")</f>
        <v>1</v>
      </c>
      <c r="C2" s="7">
        <v>3971</v>
      </c>
      <c r="D2" s="7" t="str">
        <f>IF(C2 = SalaryDetails!B2, "1","0")</f>
        <v>1</v>
      </c>
      <c r="E2" s="7">
        <v>50</v>
      </c>
      <c r="F2" s="7" t="str">
        <f>IF(E2=SalaryDetails!C2,"1","0")</f>
        <v>1</v>
      </c>
      <c r="G2" s="7">
        <v>300.73001098632801</v>
      </c>
      <c r="H2" s="7" t="str">
        <f>IF(ROUND(G2,2)=SalaryDetails!D2,"1","0")</f>
        <v>1</v>
      </c>
      <c r="I2" s="7">
        <v>4021</v>
      </c>
      <c r="J2" s="7" t="str">
        <f>IF(I2 = SalaryDetails!E2,"1","0")</f>
        <v>1</v>
      </c>
      <c r="K2" s="7">
        <v>3720.2699890136701</v>
      </c>
      <c r="L2" t="str">
        <f>IF(ROUND(Sheet1!K2,2)=SalaryDetails!F2,"1","0")</f>
        <v>1</v>
      </c>
    </row>
    <row r="3" spans="1:14" x14ac:dyDescent="0.3">
      <c r="A3" s="5" t="s">
        <v>23</v>
      </c>
      <c r="B3" s="7" t="str">
        <f>IF(A3=SalaryDetails!A3,"1","0")</f>
        <v>1</v>
      </c>
      <c r="C3" s="5">
        <v>3861</v>
      </c>
      <c r="D3" s="7" t="str">
        <f>IF(C3 = SalaryDetails!B3, "1","0")</f>
        <v>1</v>
      </c>
      <c r="E3" s="5">
        <v>850</v>
      </c>
      <c r="F3" s="7" t="str">
        <f>IF(E3=SalaryDetails!C3,"1","0")</f>
        <v>1</v>
      </c>
      <c r="G3" s="5">
        <v>510.26998901367199</v>
      </c>
      <c r="H3" s="7" t="str">
        <f>IF(ROUND(G3,2)=SalaryDetails!D3,"1","0")</f>
        <v>1</v>
      </c>
      <c r="I3" s="5">
        <v>4711</v>
      </c>
      <c r="J3" s="7" t="str">
        <f>IF(I3 = SalaryDetails!E3,"1","0")</f>
        <v>1</v>
      </c>
      <c r="K3" s="5">
        <v>4200.72998046875</v>
      </c>
      <c r="L3" t="str">
        <f>IF(ROUND(Sheet1!K3,2)=SalaryDetails!F3,"1","0")</f>
        <v>1</v>
      </c>
    </row>
    <row r="4" spans="1:14" x14ac:dyDescent="0.3">
      <c r="A4" s="5" t="s">
        <v>28</v>
      </c>
      <c r="B4" s="7" t="str">
        <f>IF(A4=SalaryDetails!A4,"1","0")</f>
        <v>1</v>
      </c>
      <c r="C4" s="5">
        <v>1618</v>
      </c>
      <c r="D4" s="7" t="str">
        <f>IF(C4 = SalaryDetails!B4, "1","0")</f>
        <v>1</v>
      </c>
      <c r="E4" s="5">
        <v>1900</v>
      </c>
      <c r="F4" s="7" t="str">
        <f>IF(E4=SalaryDetails!C4,"1","0")</f>
        <v>1</v>
      </c>
      <c r="G4" s="5">
        <v>237.27999877929699</v>
      </c>
      <c r="H4" s="7" t="str">
        <f>IF(ROUND(G4,2)=SalaryDetails!D4,"1","0")</f>
        <v>1</v>
      </c>
      <c r="I4" s="5">
        <v>3518</v>
      </c>
      <c r="J4" s="7" t="str">
        <f>IF(I4 = SalaryDetails!E4,"1","0")</f>
        <v>1</v>
      </c>
      <c r="K4" s="5">
        <v>3280.71997070313</v>
      </c>
      <c r="L4" t="str">
        <f>IF(ROUND(Sheet1!K4,2)=SalaryDetails!F4,"1","0")</f>
        <v>1</v>
      </c>
    </row>
    <row r="5" spans="1:14" x14ac:dyDescent="0.3">
      <c r="A5" s="5" t="s">
        <v>33</v>
      </c>
      <c r="B5" s="7" t="str">
        <f>IF(A5=SalaryDetails!A5,"1","0")</f>
        <v>1</v>
      </c>
      <c r="C5" s="5">
        <v>2750</v>
      </c>
      <c r="D5" s="7" t="str">
        <f>IF(C5 = SalaryDetails!B5, "1","0")</f>
        <v>1</v>
      </c>
      <c r="E5" s="5">
        <v>1950</v>
      </c>
      <c r="F5" s="7" t="str">
        <f>IF(E5=SalaryDetails!C5,"1","0")</f>
        <v>1</v>
      </c>
      <c r="G5" s="5">
        <v>313.97000122070301</v>
      </c>
      <c r="H5" s="7" t="str">
        <f>IF(ROUND(G5,2)=SalaryDetails!D5,"1","0")</f>
        <v>1</v>
      </c>
      <c r="I5" s="5">
        <v>4700</v>
      </c>
      <c r="J5" s="7" t="str">
        <f>IF(I5 = SalaryDetails!E5,"1","0")</f>
        <v>1</v>
      </c>
      <c r="K5" s="5">
        <v>4386.02978515625</v>
      </c>
      <c r="L5" t="str">
        <f>IF(ROUND(Sheet1!K5,2)=SalaryDetails!F5,"1","0")</f>
        <v>1</v>
      </c>
    </row>
    <row r="6" spans="1:14" x14ac:dyDescent="0.3">
      <c r="A6" s="5" t="s">
        <v>39</v>
      </c>
      <c r="B6" s="7" t="str">
        <f>IF(A6=SalaryDetails!A6,"1","0")</f>
        <v>1</v>
      </c>
      <c r="C6" s="5">
        <v>1526</v>
      </c>
      <c r="D6" s="7" t="str">
        <f>IF(C6 = SalaryDetails!B6, "1","0")</f>
        <v>1</v>
      </c>
      <c r="E6" s="5">
        <v>2000</v>
      </c>
      <c r="F6" s="7" t="str">
        <f>IF(E6=SalaryDetails!C6,"1","0")</f>
        <v>1</v>
      </c>
      <c r="G6" s="5">
        <v>151.16000366210901</v>
      </c>
      <c r="H6" s="7" t="str">
        <f>IF(ROUND(G6,2)=SalaryDetails!D6,"1","0")</f>
        <v>1</v>
      </c>
      <c r="I6" s="5">
        <v>3526</v>
      </c>
      <c r="J6" s="7" t="str">
        <f>IF(I6 = SalaryDetails!E6,"1","0")</f>
        <v>1</v>
      </c>
      <c r="K6" s="5">
        <v>3374.84008789063</v>
      </c>
      <c r="L6" t="str">
        <f>IF(ROUND(Sheet1!K6,2)=SalaryDetails!F6,"1","0")</f>
        <v>1</v>
      </c>
    </row>
    <row r="7" spans="1:14" x14ac:dyDescent="0.3">
      <c r="A7" s="5" t="s">
        <v>44</v>
      </c>
      <c r="B7" s="7" t="str">
        <f>IF(A7=SalaryDetails!A7,"1","0")</f>
        <v>1</v>
      </c>
      <c r="C7" s="5">
        <v>3999</v>
      </c>
      <c r="D7" s="7" t="str">
        <f>IF(C7 = SalaryDetails!B7, "1","0")</f>
        <v>1</v>
      </c>
      <c r="E7" s="5">
        <v>500</v>
      </c>
      <c r="F7" s="7" t="str">
        <f>IF(E7=SalaryDetails!C7,"1","0")</f>
        <v>1</v>
      </c>
      <c r="G7" s="5">
        <v>267.23001098632801</v>
      </c>
      <c r="H7" s="7" t="str">
        <f>IF(ROUND(G7,2)=SalaryDetails!D7,"1","0")</f>
        <v>1</v>
      </c>
      <c r="I7" s="5">
        <v>4499</v>
      </c>
      <c r="J7" s="7" t="str">
        <f>IF(I7 = SalaryDetails!E7,"1","0")</f>
        <v>1</v>
      </c>
      <c r="K7" s="5">
        <v>4231.77001953125</v>
      </c>
      <c r="L7" t="str">
        <f>IF(ROUND(Sheet1!K7,2)=SalaryDetails!F7,"1","0")</f>
        <v>1</v>
      </c>
    </row>
    <row r="8" spans="1:14" x14ac:dyDescent="0.3">
      <c r="A8" s="5" t="s">
        <v>47</v>
      </c>
      <c r="B8" s="7" t="str">
        <f>IF(A8=SalaryDetails!A8,"1","0")</f>
        <v>1</v>
      </c>
      <c r="C8" s="5">
        <v>2528</v>
      </c>
      <c r="D8" s="7" t="str">
        <f>IF(C8 = SalaryDetails!B8, "1","0")</f>
        <v>1</v>
      </c>
      <c r="E8" s="5">
        <v>1250</v>
      </c>
      <c r="F8" s="7" t="str">
        <f>IF(E8=SalaryDetails!C8,"1","0")</f>
        <v>1</v>
      </c>
      <c r="G8" s="5">
        <v>327.36999511718801</v>
      </c>
      <c r="H8" s="7" t="str">
        <f>IF(ROUND(G8,2)=SalaryDetails!D8,"1","0")</f>
        <v>1</v>
      </c>
      <c r="I8" s="5">
        <v>3778</v>
      </c>
      <c r="J8" s="7" t="str">
        <f>IF(I8 = SalaryDetails!E8,"1","0")</f>
        <v>1</v>
      </c>
      <c r="K8" s="5">
        <v>3450.6298828125</v>
      </c>
      <c r="L8" t="str">
        <f>IF(ROUND(Sheet1!K8,2)=SalaryDetails!F8,"1","0")</f>
        <v>1</v>
      </c>
      <c r="N8" s="5"/>
    </row>
    <row r="9" spans="1:14" x14ac:dyDescent="0.3">
      <c r="A9" t="s">
        <v>50</v>
      </c>
      <c r="B9" s="7" t="str">
        <f>IF(A9=SalaryDetails!A9,"1","0")</f>
        <v>1</v>
      </c>
      <c r="C9">
        <v>3244</v>
      </c>
      <c r="D9" s="7" t="str">
        <f>IF(C9 = SalaryDetails!B9, "1","0")</f>
        <v>1</v>
      </c>
      <c r="E9">
        <v>400</v>
      </c>
      <c r="F9" s="7" t="str">
        <f>IF(E9=SalaryDetails!C9,"1","0")</f>
        <v>1</v>
      </c>
      <c r="G9">
        <v>217.11000061035199</v>
      </c>
      <c r="H9" s="7" t="str">
        <f>IF(ROUND(G9,2)=SalaryDetails!D9,"1","0")</f>
        <v>1</v>
      </c>
      <c r="I9">
        <v>3644</v>
      </c>
      <c r="J9" s="7" t="str">
        <f>IF(I9 = SalaryDetails!E9,"1","0")</f>
        <v>1</v>
      </c>
      <c r="K9">
        <v>3426.8899993896498</v>
      </c>
      <c r="L9" t="str">
        <f>IF(ROUND(Sheet1!K9,2)=SalaryDetails!F9,"1","0")</f>
        <v>1</v>
      </c>
    </row>
    <row r="10" spans="1:14" x14ac:dyDescent="0.3">
      <c r="A10" t="s">
        <v>53</v>
      </c>
      <c r="B10" s="7" t="str">
        <f>IF(A10=SalaryDetails!A10,"1","0")</f>
        <v>1</v>
      </c>
      <c r="C10">
        <v>2098</v>
      </c>
      <c r="D10" s="7" t="str">
        <f>IF(C10 = SalaryDetails!B10, "1","0")</f>
        <v>1</v>
      </c>
      <c r="E10">
        <v>350</v>
      </c>
      <c r="F10" s="7" t="str">
        <f>IF(E10=SalaryDetails!C10,"1","0")</f>
        <v>1</v>
      </c>
      <c r="G10">
        <v>256.01998901367199</v>
      </c>
      <c r="H10" s="7" t="str">
        <f>IF(ROUND(G10,2)=SalaryDetails!D10,"1","0")</f>
        <v>1</v>
      </c>
      <c r="I10">
        <v>2448</v>
      </c>
      <c r="J10" s="7" t="str">
        <f>IF(I10 = SalaryDetails!E10,"1","0")</f>
        <v>1</v>
      </c>
      <c r="K10">
        <v>2191.97998046875</v>
      </c>
      <c r="L10" t="str">
        <f>IF(ROUND(Sheet1!K10,2)=SalaryDetails!F10,"1","0")</f>
        <v>1</v>
      </c>
    </row>
    <row r="11" spans="1:14" s="8" customFormat="1" x14ac:dyDescent="0.3">
      <c r="A11" t="s">
        <v>57</v>
      </c>
      <c r="B11" s="7" t="str">
        <f>IF(A11=SalaryDetails!A11,"1","0")</f>
        <v>1</v>
      </c>
      <c r="C11" s="8">
        <v>3640</v>
      </c>
      <c r="D11" s="7" t="str">
        <f>IF(C11 = SalaryDetails!B11, "1","0")</f>
        <v>1</v>
      </c>
      <c r="E11" s="8">
        <v>350</v>
      </c>
      <c r="F11" s="7" t="str">
        <f>IF(E11=SalaryDetails!C11,"1","0")</f>
        <v>1</v>
      </c>
      <c r="G11" s="8">
        <v>359.75</v>
      </c>
      <c r="H11" s="7" t="str">
        <f>IF(ROUND(G11,2)=SalaryDetails!D11,"1","0")</f>
        <v>1</v>
      </c>
      <c r="I11" s="8">
        <v>3990</v>
      </c>
      <c r="J11" s="7" t="str">
        <f>IF(I11 = SalaryDetails!E11,"1","0")</f>
        <v>1</v>
      </c>
      <c r="K11" s="8">
        <v>3630.25</v>
      </c>
      <c r="L11" t="str">
        <f>IF(ROUND(Sheet1!K11,2)=SalaryDetails!F11,"1","0")</f>
        <v>1</v>
      </c>
    </row>
    <row r="12" spans="1:14" x14ac:dyDescent="0.3">
      <c r="A12" t="s">
        <v>59</v>
      </c>
      <c r="B12" s="7" t="str">
        <f>IF(A12=SalaryDetails!A12,"1","0")</f>
        <v>1</v>
      </c>
      <c r="C12">
        <v>2278</v>
      </c>
      <c r="D12" s="7" t="str">
        <f>IF(C12 = SalaryDetails!B12, "1","0")</f>
        <v>1</v>
      </c>
      <c r="E12">
        <v>2000</v>
      </c>
      <c r="F12" s="7" t="str">
        <f>IF(E12=SalaryDetails!C12,"1","0")</f>
        <v>1</v>
      </c>
      <c r="G12">
        <v>322.76998901367199</v>
      </c>
      <c r="H12" s="7" t="str">
        <f>IF(ROUND(G12,2)=SalaryDetails!D12,"1","0")</f>
        <v>1</v>
      </c>
      <c r="I12">
        <v>4278</v>
      </c>
      <c r="J12" s="7" t="str">
        <f>IF(I12 = SalaryDetails!E12,"1","0")</f>
        <v>1</v>
      </c>
      <c r="K12">
        <v>3955.22998046875</v>
      </c>
      <c r="L12" t="str">
        <f>IF(ROUND(Sheet1!K12,2)=SalaryDetails!F12,"1","0")</f>
        <v>1</v>
      </c>
    </row>
    <row r="13" spans="1:14" x14ac:dyDescent="0.3">
      <c r="A13" t="s">
        <v>62</v>
      </c>
      <c r="B13" s="7" t="str">
        <f>IF(A13=SalaryDetails!A13,"1","0")</f>
        <v>1</v>
      </c>
      <c r="C13">
        <v>1861</v>
      </c>
      <c r="D13" s="7" t="str">
        <f>IF(C13 = SalaryDetails!B13, "1","0")</f>
        <v>1</v>
      </c>
      <c r="E13">
        <v>1550</v>
      </c>
      <c r="F13" s="7" t="str">
        <f>IF(E13=SalaryDetails!C13,"1","0")</f>
        <v>1</v>
      </c>
      <c r="G13">
        <v>193.94000244140599</v>
      </c>
      <c r="H13" s="7" t="str">
        <f>IF(ROUND(G13,2)=SalaryDetails!D13,"1","0")</f>
        <v>1</v>
      </c>
      <c r="I13">
        <v>3411</v>
      </c>
      <c r="J13" s="7" t="str">
        <f>IF(I13 = SalaryDetails!E13,"1","0")</f>
        <v>1</v>
      </c>
      <c r="K13">
        <v>3217.06005859375</v>
      </c>
      <c r="L13" t="str">
        <f>IF(ROUND(Sheet1!K13,2)=SalaryDetails!F13,"1","0")</f>
        <v>1</v>
      </c>
    </row>
    <row r="14" spans="1:14" x14ac:dyDescent="0.3">
      <c r="A14" t="s">
        <v>65</v>
      </c>
      <c r="B14" s="7" t="str">
        <f>IF(A14=SalaryDetails!A14,"1","0")</f>
        <v>1</v>
      </c>
      <c r="C14">
        <v>1522</v>
      </c>
      <c r="D14" s="7" t="str">
        <f>IF(C14 = SalaryDetails!B14, "1","0")</f>
        <v>1</v>
      </c>
      <c r="E14">
        <v>1700</v>
      </c>
      <c r="F14" s="7" t="str">
        <f>IF(E14=SalaryDetails!C14,"1","0")</f>
        <v>1</v>
      </c>
      <c r="G14">
        <v>173.77999877929699</v>
      </c>
      <c r="H14" s="7" t="str">
        <f>IF(ROUND(G14,2)=SalaryDetails!D14,"1","0")</f>
        <v>1</v>
      </c>
      <c r="I14">
        <v>3222</v>
      </c>
      <c r="J14" s="7" t="str">
        <f>IF(I14 = SalaryDetails!E14,"1","0")</f>
        <v>1</v>
      </c>
      <c r="K14">
        <v>3048.21997070313</v>
      </c>
      <c r="L14" t="str">
        <f>IF(ROUND(Sheet1!K14,2)=SalaryDetails!F14,"1","0")</f>
        <v>1</v>
      </c>
    </row>
    <row r="15" spans="1:14" x14ac:dyDescent="0.3">
      <c r="A15" t="s">
        <v>67</v>
      </c>
      <c r="B15" s="7" t="str">
        <f>IF(A15=SalaryDetails!A15,"1","0")</f>
        <v>1</v>
      </c>
      <c r="C15">
        <v>3684</v>
      </c>
      <c r="D15" s="7" t="str">
        <f>IF(C15 = SalaryDetails!B15, "1","0")</f>
        <v>1</v>
      </c>
      <c r="E15">
        <v>950</v>
      </c>
      <c r="F15" s="7" t="str">
        <f>IF(E15=SalaryDetails!C15,"1","0")</f>
        <v>1</v>
      </c>
      <c r="G15">
        <v>205.83999633789099</v>
      </c>
      <c r="H15" s="7" t="str">
        <f>IF(ROUND(G15,2)=SalaryDetails!D15,"1","0")</f>
        <v>1</v>
      </c>
      <c r="I15">
        <v>4634</v>
      </c>
      <c r="J15" s="7" t="str">
        <f>IF(I15 = SalaryDetails!E15,"1","0")</f>
        <v>1</v>
      </c>
      <c r="K15">
        <v>4428.16015625</v>
      </c>
      <c r="L15" t="str">
        <f>IF(ROUND(Sheet1!K15,2)=SalaryDetails!F15,"1","0")</f>
        <v>1</v>
      </c>
    </row>
    <row r="16" spans="1:14" x14ac:dyDescent="0.3">
      <c r="A16" t="s">
        <v>69</v>
      </c>
      <c r="B16" s="7" t="str">
        <f>IF(A16=SalaryDetails!A16,"1","0")</f>
        <v>1</v>
      </c>
      <c r="C16" s="8">
        <v>1462</v>
      </c>
      <c r="D16" s="7" t="str">
        <f>IF(C16 = SalaryDetails!B16, "1","0")</f>
        <v>1</v>
      </c>
      <c r="E16" s="8">
        <v>1850</v>
      </c>
      <c r="F16" s="7" t="str">
        <f>IF(E16=SalaryDetails!C16,"1","0")</f>
        <v>1</v>
      </c>
      <c r="G16" s="8">
        <v>78.05</v>
      </c>
      <c r="H16" s="7" t="str">
        <f>IF(ROUND(G16,2)=SalaryDetails!D16,"1","0")</f>
        <v>1</v>
      </c>
      <c r="I16" s="8">
        <v>3312</v>
      </c>
      <c r="J16" s="7" t="str">
        <f>IF(I16 = SalaryDetails!E16,"1","0")</f>
        <v>1</v>
      </c>
      <c r="K16" s="8">
        <v>3233.95</v>
      </c>
      <c r="L16" t="str">
        <f>IF(ROUND(Sheet1!K16,2)=SalaryDetails!F16,"1","0")</f>
        <v>1</v>
      </c>
    </row>
    <row r="17" spans="1:12" x14ac:dyDescent="0.3">
      <c r="A17" t="s">
        <v>72</v>
      </c>
      <c r="B17" s="7" t="str">
        <f>IF(A17=SalaryDetails!A17,"1","0")</f>
        <v>1</v>
      </c>
      <c r="C17">
        <v>2553</v>
      </c>
      <c r="D17" s="7" t="str">
        <f>IF(C17 = SalaryDetails!B17, "1","0")</f>
        <v>1</v>
      </c>
      <c r="E17">
        <v>1550</v>
      </c>
      <c r="F17" s="7" t="str">
        <f>IF(E17=SalaryDetails!C17,"1","0")</f>
        <v>1</v>
      </c>
      <c r="G17">
        <v>343.80999755859398</v>
      </c>
      <c r="H17" s="7" t="str">
        <f>IF(ROUND(G17,2)=SalaryDetails!D17,"1","0")</f>
        <v>1</v>
      </c>
      <c r="I17">
        <v>4103</v>
      </c>
      <c r="J17" s="7" t="str">
        <f>IF(I17 = SalaryDetails!E17,"1","0")</f>
        <v>1</v>
      </c>
      <c r="K17">
        <v>3759.18994140625</v>
      </c>
      <c r="L17" t="str">
        <f>IF(ROUND(Sheet1!K17,2)=SalaryDetails!F17,"1","0")</f>
        <v>1</v>
      </c>
    </row>
    <row r="18" spans="1:12" x14ac:dyDescent="0.3">
      <c r="A18" t="s">
        <v>74</v>
      </c>
      <c r="B18" s="7" t="str">
        <f>IF(A18=SalaryDetails!A18,"1","0")</f>
        <v>1</v>
      </c>
      <c r="C18">
        <v>3137</v>
      </c>
      <c r="D18" s="7" t="str">
        <f>IF(C18 = SalaryDetails!B18, "1","0")</f>
        <v>1</v>
      </c>
      <c r="E18">
        <v>1350</v>
      </c>
      <c r="F18" s="7" t="str">
        <f>IF(E18=SalaryDetails!C18,"1","0")</f>
        <v>1</v>
      </c>
      <c r="G18">
        <v>453.35998535156301</v>
      </c>
      <c r="H18" s="7" t="str">
        <f>IF(ROUND(G18,2)=SalaryDetails!D18,"1","0")</f>
        <v>1</v>
      </c>
      <c r="I18">
        <v>4487</v>
      </c>
      <c r="J18" s="7" t="str">
        <f>IF(I18 = SalaryDetails!E18,"1","0")</f>
        <v>1</v>
      </c>
      <c r="K18">
        <v>4033.63989257813</v>
      </c>
      <c r="L18" t="str">
        <f>IF(ROUND(Sheet1!K18,2)=SalaryDetails!F18,"1","0")</f>
        <v>1</v>
      </c>
    </row>
    <row r="19" spans="1:12" x14ac:dyDescent="0.3">
      <c r="A19" t="s">
        <v>77</v>
      </c>
      <c r="B19" s="7" t="str">
        <f>IF(A19=SalaryDetails!A19,"1","0")</f>
        <v>1</v>
      </c>
      <c r="C19">
        <v>3846</v>
      </c>
      <c r="D19" s="7" t="str">
        <f>IF(C19 = SalaryDetails!B19, "1","0")</f>
        <v>1</v>
      </c>
      <c r="E19">
        <v>300</v>
      </c>
      <c r="F19" s="7" t="str">
        <f>IF(E19=SalaryDetails!C19,"1","0")</f>
        <v>1</v>
      </c>
      <c r="G19">
        <v>449.29998779296898</v>
      </c>
      <c r="H19" s="7" t="str">
        <f>IF(ROUND(G19,2)=SalaryDetails!D19,"1","0")</f>
        <v>1</v>
      </c>
      <c r="I19">
        <v>4146</v>
      </c>
      <c r="J19" s="7" t="str">
        <f>IF(I19 = SalaryDetails!E19,"1","0")</f>
        <v>1</v>
      </c>
      <c r="K19">
        <v>3696.69995117188</v>
      </c>
      <c r="L19" t="str">
        <f>IF(ROUND(Sheet1!K19,2)=SalaryDetails!F19,"1","0")</f>
        <v>1</v>
      </c>
    </row>
    <row r="20" spans="1:12" x14ac:dyDescent="0.3">
      <c r="A20" t="s">
        <v>79</v>
      </c>
      <c r="B20" s="7" t="str">
        <f>IF(A20=SalaryDetails!A20,"1","0")</f>
        <v>1</v>
      </c>
      <c r="C20">
        <v>2340</v>
      </c>
      <c r="D20" s="7" t="str">
        <f>IF(C20 = SalaryDetails!B20, "1","0")</f>
        <v>1</v>
      </c>
      <c r="E20">
        <v>300</v>
      </c>
      <c r="F20" s="7" t="str">
        <f>IF(E20=SalaryDetails!C20,"1","0")</f>
        <v>1</v>
      </c>
      <c r="G20">
        <v>295.85998535156301</v>
      </c>
      <c r="H20" s="7" t="str">
        <f>IF(ROUND(G20,2)=SalaryDetails!D20,"1","0")</f>
        <v>1</v>
      </c>
      <c r="I20">
        <v>2640</v>
      </c>
      <c r="J20" s="7" t="str">
        <f>IF(I20 = SalaryDetails!E20,"1","0")</f>
        <v>1</v>
      </c>
      <c r="K20">
        <v>2344.13989257813</v>
      </c>
      <c r="L20" t="str">
        <f>IF(ROUND(Sheet1!K20,2)=SalaryDetails!F20,"1","0")</f>
        <v>1</v>
      </c>
    </row>
    <row r="21" spans="1:12" x14ac:dyDescent="0.3">
      <c r="A21" t="s">
        <v>81</v>
      </c>
      <c r="B21" s="7" t="str">
        <f>IF(A21=SalaryDetails!A21,"1","0")</f>
        <v>1</v>
      </c>
      <c r="C21">
        <v>3171</v>
      </c>
      <c r="D21" s="7" t="str">
        <f>IF(C21 = SalaryDetails!B21, "1","0")</f>
        <v>1</v>
      </c>
      <c r="E21">
        <v>0</v>
      </c>
      <c r="F21" s="7" t="str">
        <f>IF(E21=SalaryDetails!C21,"1","0")</f>
        <v>1</v>
      </c>
      <c r="G21">
        <v>289.32000732421898</v>
      </c>
      <c r="H21" s="7" t="str">
        <f>IF(ROUND(G21,2)=SalaryDetails!D21,"1","0")</f>
        <v>1</v>
      </c>
      <c r="I21">
        <v>3171</v>
      </c>
      <c r="J21" s="7" t="str">
        <f>IF(I21 = SalaryDetails!E21,"1","0")</f>
        <v>1</v>
      </c>
      <c r="K21">
        <v>2881.67993164063</v>
      </c>
      <c r="L21" t="str">
        <f>IF(ROUND(Sheet1!K21,2)=SalaryDetails!F21,"1","0")</f>
        <v>1</v>
      </c>
    </row>
    <row r="22" spans="1:12" x14ac:dyDescent="0.3">
      <c r="A22" t="s">
        <v>84</v>
      </c>
      <c r="B22" s="7" t="str">
        <f>IF(A22=SalaryDetails!A22,"1","0")</f>
        <v>1</v>
      </c>
      <c r="C22">
        <v>3476</v>
      </c>
      <c r="D22" s="7" t="str">
        <f>IF(C22 = SalaryDetails!B22, "1","0")</f>
        <v>1</v>
      </c>
      <c r="E22">
        <v>150</v>
      </c>
      <c r="F22" s="7" t="str">
        <f>IF(E22=SalaryDetails!C22,"1","0")</f>
        <v>1</v>
      </c>
      <c r="G22">
        <v>466.67001342773398</v>
      </c>
      <c r="H22" s="7" t="str">
        <f>IF(ROUND(G22,2)=SalaryDetails!D22,"1","0")</f>
        <v>1</v>
      </c>
      <c r="I22">
        <v>3626</v>
      </c>
      <c r="J22" s="7" t="str">
        <f>IF(I22 = SalaryDetails!E22,"1","0")</f>
        <v>1</v>
      </c>
      <c r="K22">
        <v>3159.330078125</v>
      </c>
      <c r="L22" t="str">
        <f>IF(ROUND(Sheet1!K22,2)=SalaryDetails!F22,"1","0")</f>
        <v>1</v>
      </c>
    </row>
    <row r="23" spans="1:12" x14ac:dyDescent="0.3">
      <c r="A23" t="s">
        <v>86</v>
      </c>
      <c r="B23" s="7" t="str">
        <f>IF(A23=SalaryDetails!A23,"1","0")</f>
        <v>1</v>
      </c>
      <c r="C23">
        <v>3375</v>
      </c>
      <c r="D23" s="7" t="str">
        <f>IF(C23 = SalaryDetails!B23, "1","0")</f>
        <v>1</v>
      </c>
      <c r="E23">
        <v>200</v>
      </c>
      <c r="F23" s="7" t="str">
        <f>IF(E23=SalaryDetails!C23,"1","0")</f>
        <v>1</v>
      </c>
      <c r="G23">
        <v>246.86000061035199</v>
      </c>
      <c r="H23" s="7" t="str">
        <f>IF(ROUND(G23,2)=SalaryDetails!D23,"1","0")</f>
        <v>1</v>
      </c>
      <c r="I23">
        <v>3575</v>
      </c>
      <c r="J23" s="7" t="str">
        <f>IF(I23 = SalaryDetails!E23,"1","0")</f>
        <v>1</v>
      </c>
      <c r="K23">
        <v>3328.13989257813</v>
      </c>
      <c r="L23" t="str">
        <f>IF(ROUND(Sheet1!K23,2)=SalaryDetails!F23,"1","0")</f>
        <v>1</v>
      </c>
    </row>
    <row r="24" spans="1:12" x14ac:dyDescent="0.3">
      <c r="A24" t="s">
        <v>88</v>
      </c>
      <c r="B24" s="7" t="str">
        <f>IF(A24=SalaryDetails!A24,"1","0")</f>
        <v>1</v>
      </c>
      <c r="C24">
        <v>3635</v>
      </c>
      <c r="D24" s="7" t="str">
        <f>IF(C24 = SalaryDetails!B24, "1","0")</f>
        <v>1</v>
      </c>
      <c r="E24">
        <v>1850</v>
      </c>
      <c r="F24" s="7" t="str">
        <f>IF(E24=SalaryDetails!C24,"1","0")</f>
        <v>1</v>
      </c>
      <c r="G24">
        <v>438.80999755859398</v>
      </c>
      <c r="H24" s="7" t="str">
        <f>IF(ROUND(G24,2)=SalaryDetails!D24,"1","0")</f>
        <v>1</v>
      </c>
      <c r="I24">
        <v>5485</v>
      </c>
      <c r="J24" s="7" t="str">
        <f>IF(I24 = SalaryDetails!E24,"1","0")</f>
        <v>1</v>
      </c>
      <c r="K24">
        <v>5046.18994140625</v>
      </c>
      <c r="L24" t="str">
        <f>IF(ROUND(Sheet1!K24,2)=SalaryDetails!F24,"1","0")</f>
        <v>1</v>
      </c>
    </row>
    <row r="25" spans="1:12" x14ac:dyDescent="0.3">
      <c r="A25" t="s">
        <v>91</v>
      </c>
      <c r="B25" s="7" t="str">
        <f>IF(A25=SalaryDetails!A25,"1","0")</f>
        <v>1</v>
      </c>
      <c r="C25">
        <v>2821</v>
      </c>
      <c r="D25" s="7" t="str">
        <f>IF(C25 = SalaryDetails!B25, "1","0")</f>
        <v>1</v>
      </c>
      <c r="E25">
        <v>200</v>
      </c>
      <c r="F25" s="7" t="str">
        <f>IF(E25=SalaryDetails!C25,"1","0")</f>
        <v>1</v>
      </c>
      <c r="G25">
        <v>143.63000488281301</v>
      </c>
      <c r="H25" s="7" t="str">
        <f>IF(ROUND(G25,2)=SalaryDetails!D25,"1","0")</f>
        <v>1</v>
      </c>
      <c r="I25">
        <v>3021</v>
      </c>
      <c r="J25" s="7" t="str">
        <f>IF(I25 = SalaryDetails!E25,"1","0")</f>
        <v>1</v>
      </c>
      <c r="K25">
        <v>2877.3701171875</v>
      </c>
      <c r="L25" t="str">
        <f>IF(ROUND(Sheet1!K25,2)=SalaryDetails!F25,"1","0")</f>
        <v>1</v>
      </c>
    </row>
    <row r="26" spans="1:12" x14ac:dyDescent="0.3">
      <c r="A26" t="s">
        <v>93</v>
      </c>
      <c r="B26" s="7" t="str">
        <f>IF(A26=SalaryDetails!A26,"1","0")</f>
        <v>1</v>
      </c>
      <c r="C26">
        <v>3272</v>
      </c>
      <c r="D26" s="7" t="str">
        <f>IF(C26 = SalaryDetails!B26, "1","0")</f>
        <v>1</v>
      </c>
      <c r="E26">
        <v>750</v>
      </c>
      <c r="F26" s="7" t="str">
        <f>IF(E26=SalaryDetails!C26,"1","0")</f>
        <v>1</v>
      </c>
      <c r="G26">
        <v>329.07998657226602</v>
      </c>
      <c r="H26" s="7" t="str">
        <f>IF(ROUND(G26,2)=SalaryDetails!D26,"1","0")</f>
        <v>1</v>
      </c>
      <c r="I26">
        <v>4022</v>
      </c>
      <c r="J26" s="7" t="str">
        <f>IF(I26 = SalaryDetails!E26,"1","0")</f>
        <v>1</v>
      </c>
      <c r="K26">
        <v>3692.919921875</v>
      </c>
      <c r="L26" t="str">
        <f>IF(ROUND(Sheet1!K26,2)=SalaryDetails!F26,"1","0")</f>
        <v>1</v>
      </c>
    </row>
    <row r="27" spans="1:12" x14ac:dyDescent="0.3">
      <c r="A27" t="s">
        <v>95</v>
      </c>
      <c r="B27" s="7" t="str">
        <f>IF(A27=SalaryDetails!A27,"1","0")</f>
        <v>1</v>
      </c>
      <c r="C27">
        <v>3705</v>
      </c>
      <c r="D27" s="7" t="str">
        <f>IF(C27 = SalaryDetails!B27, "1","0")</f>
        <v>1</v>
      </c>
      <c r="E27">
        <v>323.52001953125</v>
      </c>
      <c r="F27" s="7" t="str">
        <f>IF(E27=SalaryDetails!C27,"1","0")</f>
        <v>0</v>
      </c>
      <c r="G27">
        <v>347.0400390625</v>
      </c>
      <c r="H27" s="7" t="str">
        <f>IF(ROUND(G27,2)=SalaryDetails!D27,"1","0")</f>
        <v>0</v>
      </c>
      <c r="I27">
        <v>4005</v>
      </c>
      <c r="J27" s="7" t="str">
        <f>IF(I27 = SalaryDetails!E27,"1","0")</f>
        <v>1</v>
      </c>
      <c r="K27">
        <v>3681.47998046875</v>
      </c>
      <c r="L27" t="str">
        <f>IF(ROUND(Sheet1!K27,2)=SalaryDetails!F27,"1","0")</f>
        <v>1</v>
      </c>
    </row>
    <row r="28" spans="1:12" x14ac:dyDescent="0.3">
      <c r="A28" t="s">
        <v>98</v>
      </c>
      <c r="B28" s="7" t="str">
        <f>IF(A28=SalaryDetails!A28,"1","0")</f>
        <v>1</v>
      </c>
      <c r="C28" s="8">
        <v>3677</v>
      </c>
      <c r="D28" s="7" t="str">
        <f>IF(C28 = SalaryDetails!B28, "1","0")</f>
        <v>1</v>
      </c>
      <c r="E28" s="8">
        <v>2000</v>
      </c>
      <c r="F28" s="7" t="str">
        <f>IF(E28=SalaryDetails!C28,"1","0")</f>
        <v>1</v>
      </c>
      <c r="G28" s="8">
        <v>411.03</v>
      </c>
      <c r="H28" s="7" t="str">
        <f>IF(ROUND(G28,2)=SalaryDetails!D28,"1","0")</f>
        <v>1</v>
      </c>
      <c r="I28" s="8">
        <v>5677</v>
      </c>
      <c r="J28" s="7" t="str">
        <f>IF(I28 = SalaryDetails!E28,"1","0")</f>
        <v>1</v>
      </c>
      <c r="K28" s="8">
        <v>5265.97</v>
      </c>
      <c r="L28" t="str">
        <f>IF(ROUND(Sheet1!K28,2)=SalaryDetails!F28,"1","0")</f>
        <v>1</v>
      </c>
    </row>
    <row r="29" spans="1:12" x14ac:dyDescent="0.3">
      <c r="A29" t="s">
        <v>100</v>
      </c>
      <c r="B29" s="7" t="str">
        <f>IF(A29=SalaryDetails!A29,"1","0")</f>
        <v>1</v>
      </c>
      <c r="C29">
        <v>2333</v>
      </c>
      <c r="D29" s="7" t="str">
        <f>IF(C29 = SalaryDetails!B29, "1","0")</f>
        <v>1</v>
      </c>
      <c r="E29">
        <v>2000</v>
      </c>
      <c r="F29" s="7" t="str">
        <f>IF(E29=SalaryDetails!C29,"1","0")</f>
        <v>1</v>
      </c>
      <c r="G29">
        <v>272.20001220703102</v>
      </c>
      <c r="H29" s="7" t="str">
        <f>IF(ROUND(G29,2)=SalaryDetails!D29,"1","0")</f>
        <v>1</v>
      </c>
      <c r="I29">
        <v>4333</v>
      </c>
      <c r="J29" s="7" t="str">
        <f>IF(I29 = SalaryDetails!E29,"1","0")</f>
        <v>1</v>
      </c>
      <c r="K29">
        <v>4060.80004882813</v>
      </c>
      <c r="L29" t="str">
        <f>IF(ROUND(Sheet1!K29,2)=SalaryDetails!F29,"1","0")</f>
        <v>1</v>
      </c>
    </row>
    <row r="30" spans="1:12" x14ac:dyDescent="0.3">
      <c r="A30" t="s">
        <v>102</v>
      </c>
      <c r="B30" s="7" t="str">
        <f>IF(A30=SalaryDetails!A30,"1","0")</f>
        <v>1</v>
      </c>
      <c r="C30">
        <v>1658</v>
      </c>
      <c r="D30" s="7" t="str">
        <f>IF(C30 = SalaryDetails!B30, "1","0")</f>
        <v>1</v>
      </c>
      <c r="E30">
        <v>1150</v>
      </c>
      <c r="F30" s="7" t="str">
        <f>IF(E30=SalaryDetails!C30,"1","0")</f>
        <v>1</v>
      </c>
      <c r="G30">
        <v>185.11999511718801</v>
      </c>
      <c r="H30" s="7" t="str">
        <f>IF(ROUND(G30,2)=SalaryDetails!D30,"1","0")</f>
        <v>1</v>
      </c>
      <c r="I30">
        <v>2808</v>
      </c>
      <c r="J30" s="7" t="str">
        <f>IF(I30 = SalaryDetails!E30,"1","0")</f>
        <v>1</v>
      </c>
      <c r="K30">
        <v>2622.8798828125</v>
      </c>
      <c r="L30" t="str">
        <f>IF(ROUND(Sheet1!K30,2)=SalaryDetails!F30,"1","0")</f>
        <v>1</v>
      </c>
    </row>
    <row r="31" spans="1:12" x14ac:dyDescent="0.3">
      <c r="A31" t="s">
        <v>104</v>
      </c>
      <c r="B31" s="7" t="str">
        <f>IF(A31=SalaryDetails!A31,"1","0")</f>
        <v>1</v>
      </c>
      <c r="C31">
        <v>1363</v>
      </c>
      <c r="D31" s="7" t="str">
        <f>IF(C31 = SalaryDetails!B31, "1","0")</f>
        <v>1</v>
      </c>
      <c r="E31">
        <v>1100</v>
      </c>
      <c r="F31" s="7" t="str">
        <f>IF(E31=SalaryDetails!C31,"1","0")</f>
        <v>1</v>
      </c>
      <c r="G31">
        <v>134.00999450683599</v>
      </c>
      <c r="H31" s="7" t="str">
        <f>IF(ROUND(G31,2)=SalaryDetails!D31,"1","0")</f>
        <v>1</v>
      </c>
      <c r="I31">
        <v>2463</v>
      </c>
      <c r="J31" s="7" t="str">
        <f>IF(I31 = SalaryDetails!E31,"1","0")</f>
        <v>1</v>
      </c>
      <c r="K31">
        <v>2328.99000549316</v>
      </c>
      <c r="L31" t="str">
        <f>IF(ROUND(Sheet1!K31,2)=SalaryDetails!F31,"1","0")</f>
        <v>1</v>
      </c>
    </row>
    <row r="32" spans="1:12" x14ac:dyDescent="0.3">
      <c r="A32" t="s">
        <v>107</v>
      </c>
      <c r="B32" s="7" t="str">
        <f>IF(A32=SalaryDetails!A32,"1","0")</f>
        <v>1</v>
      </c>
      <c r="C32">
        <v>1301</v>
      </c>
      <c r="D32" s="7" t="str">
        <f>IF(C32 = SalaryDetails!B32, "1","0")</f>
        <v>1</v>
      </c>
      <c r="E32">
        <v>750</v>
      </c>
      <c r="F32" s="7" t="str">
        <f>IF(E32=SalaryDetails!C32,"1","0")</f>
        <v>1</v>
      </c>
      <c r="G32">
        <v>128.52000427246099</v>
      </c>
      <c r="H32" s="7" t="str">
        <f>IF(ROUND(G32,2)=SalaryDetails!D32,"1","0")</f>
        <v>1</v>
      </c>
      <c r="I32">
        <v>2051</v>
      </c>
      <c r="J32" s="7" t="str">
        <f>IF(I32 = SalaryDetails!E32,"1","0")</f>
        <v>1</v>
      </c>
      <c r="K32">
        <v>1922.47998046875</v>
      </c>
      <c r="L32" t="str">
        <f>IF(ROUND(Sheet1!K32,2)=SalaryDetails!F32,"1","0")</f>
        <v>1</v>
      </c>
    </row>
    <row r="33" spans="1:12" x14ac:dyDescent="0.3">
      <c r="A33" t="s">
        <v>109</v>
      </c>
      <c r="B33" s="7" t="str">
        <f>IF(A33=SalaryDetails!A33,"1","0")</f>
        <v>1</v>
      </c>
      <c r="C33">
        <v>2111</v>
      </c>
      <c r="D33" s="7" t="str">
        <f>IF(C33 = SalaryDetails!B33, "1","0")</f>
        <v>1</v>
      </c>
      <c r="E33">
        <v>700</v>
      </c>
      <c r="F33" s="7" t="str">
        <f>IF(E33=SalaryDetails!C33,"1","0")</f>
        <v>1</v>
      </c>
      <c r="G33">
        <v>106.949996948242</v>
      </c>
      <c r="H33" s="7" t="str">
        <f>IF(ROUND(G33,2)=SalaryDetails!D33,"1","0")</f>
        <v>1</v>
      </c>
      <c r="I33">
        <v>2811</v>
      </c>
      <c r="J33" s="7" t="str">
        <f>IF(I33 = SalaryDetails!E33,"1","0")</f>
        <v>1</v>
      </c>
      <c r="K33">
        <v>2704.05004882813</v>
      </c>
      <c r="L33" t="str">
        <f>IF(ROUND(Sheet1!K33,2)=SalaryDetails!F33,"1","0")</f>
        <v>1</v>
      </c>
    </row>
    <row r="34" spans="1:12" x14ac:dyDescent="0.3">
      <c r="A34" t="s">
        <v>112</v>
      </c>
      <c r="B34" s="7" t="str">
        <f>IF(A34=SalaryDetails!A34,"1","0")</f>
        <v>1</v>
      </c>
      <c r="C34">
        <v>2343</v>
      </c>
      <c r="D34" s="7" t="str">
        <f>IF(C34 = SalaryDetails!B34, "1","0")</f>
        <v>1</v>
      </c>
      <c r="E34">
        <v>1700</v>
      </c>
      <c r="F34" s="7" t="str">
        <f>IF(E34=SalaryDetails!C34,"1","0")</f>
        <v>1</v>
      </c>
      <c r="G34">
        <v>246.39999389648401</v>
      </c>
      <c r="H34" s="7" t="str">
        <f>IF(ROUND(G34,2)=SalaryDetails!D34,"1","0")</f>
        <v>1</v>
      </c>
      <c r="I34">
        <v>4043</v>
      </c>
      <c r="J34" s="7" t="str">
        <f>IF(I34 = SalaryDetails!E34,"1","0")</f>
        <v>1</v>
      </c>
      <c r="K34">
        <v>3796.6000061035202</v>
      </c>
      <c r="L34" t="str">
        <f>IF(ROUND(Sheet1!K34,2)=SalaryDetails!F34,"1","0")</f>
        <v>1</v>
      </c>
    </row>
    <row r="35" spans="1:12" x14ac:dyDescent="0.3">
      <c r="A35" t="s">
        <v>114</v>
      </c>
      <c r="B35" s="7" t="str">
        <f>IF(A35=SalaryDetails!A35,"1","0")</f>
        <v>1</v>
      </c>
      <c r="C35">
        <v>2287</v>
      </c>
      <c r="D35" s="7" t="str">
        <f>IF(C35 = SalaryDetails!B35, "1","0")</f>
        <v>1</v>
      </c>
      <c r="E35">
        <v>1000</v>
      </c>
      <c r="F35" s="7" t="str">
        <f>IF(E35=SalaryDetails!C35,"1","0")</f>
        <v>1</v>
      </c>
      <c r="G35">
        <v>117.05999755859401</v>
      </c>
      <c r="H35" s="7" t="str">
        <f>IF(ROUND(G35,2)=SalaryDetails!D35,"1","0")</f>
        <v>1</v>
      </c>
      <c r="I35">
        <v>3287</v>
      </c>
      <c r="J35" s="7" t="str">
        <f>IF(I35 = SalaryDetails!E35,"1","0")</f>
        <v>1</v>
      </c>
      <c r="K35">
        <v>3169.93994140625</v>
      </c>
      <c r="L35" t="str">
        <f>IF(ROUND(Sheet1!K35,2)=SalaryDetails!F35,"1","0")</f>
        <v>1</v>
      </c>
    </row>
    <row r="36" spans="1:12" x14ac:dyDescent="0.3">
      <c r="A36" t="s">
        <v>116</v>
      </c>
      <c r="B36" s="7" t="str">
        <f>IF(A36=SalaryDetails!A36,"1","0")</f>
        <v>1</v>
      </c>
      <c r="C36">
        <v>2986</v>
      </c>
      <c r="D36" s="7" t="str">
        <f>IF(C36 = SalaryDetails!B36, "1","0")</f>
        <v>1</v>
      </c>
      <c r="E36">
        <v>600</v>
      </c>
      <c r="F36" s="7" t="str">
        <f>IF(E36=SalaryDetails!C36,"1","0")</f>
        <v>1</v>
      </c>
      <c r="G36">
        <v>307.38000488281301</v>
      </c>
      <c r="H36" s="7" t="str">
        <f>IF(ROUND(G36,2)=SalaryDetails!D36,"1","0")</f>
        <v>1</v>
      </c>
      <c r="I36">
        <v>3586</v>
      </c>
      <c r="J36" s="7" t="str">
        <f>IF(I36 = SalaryDetails!E36,"1","0")</f>
        <v>1</v>
      </c>
      <c r="K36">
        <v>3278.6201171875</v>
      </c>
      <c r="L36" t="str">
        <f>IF(ROUND(Sheet1!K36,2)=SalaryDetails!F36,"1","0")</f>
        <v>1</v>
      </c>
    </row>
    <row r="37" spans="1:12" x14ac:dyDescent="0.3">
      <c r="A37" t="s">
        <v>118</v>
      </c>
      <c r="B37" s="7" t="str">
        <f>IF(A37=SalaryDetails!A37,"1","0")</f>
        <v>1</v>
      </c>
      <c r="C37">
        <v>1710</v>
      </c>
      <c r="D37" s="7" t="str">
        <f>IF(C37 = SalaryDetails!B37, "1","0")</f>
        <v>1</v>
      </c>
      <c r="E37">
        <v>1000</v>
      </c>
      <c r="F37" s="7" t="str">
        <f>IF(E37=SalaryDetails!C37,"1","0")</f>
        <v>1</v>
      </c>
      <c r="G37">
        <v>132.47999572753901</v>
      </c>
      <c r="H37" s="7" t="str">
        <f>IF(ROUND(G37,2)=SalaryDetails!D37,"1","0")</f>
        <v>1</v>
      </c>
      <c r="I37">
        <v>2710</v>
      </c>
      <c r="J37" s="7" t="str">
        <f>IF(I37 = SalaryDetails!E37,"1","0")</f>
        <v>1</v>
      </c>
      <c r="K37">
        <v>2577.52001953125</v>
      </c>
      <c r="L37" t="str">
        <f>IF(ROUND(Sheet1!K37,2)=SalaryDetails!F37,"1","0")</f>
        <v>1</v>
      </c>
    </row>
    <row r="38" spans="1:12" x14ac:dyDescent="0.3">
      <c r="A38" t="s">
        <v>120</v>
      </c>
      <c r="B38" s="7" t="str">
        <f>IF(A38=SalaryDetails!A38,"1","0")</f>
        <v>1</v>
      </c>
      <c r="C38">
        <v>2752</v>
      </c>
      <c r="D38" s="7" t="str">
        <f>IF(C38 = SalaryDetails!B38, "1","0")</f>
        <v>1</v>
      </c>
      <c r="E38">
        <v>1750</v>
      </c>
      <c r="F38" s="7" t="str">
        <f>IF(E38=SalaryDetails!C38,"1","0")</f>
        <v>1</v>
      </c>
      <c r="G38">
        <v>406.60000610351602</v>
      </c>
      <c r="H38" s="7" t="str">
        <f>IF(ROUND(G38,2)=SalaryDetails!D38,"1","0")</f>
        <v>1</v>
      </c>
      <c r="I38">
        <v>4502</v>
      </c>
      <c r="J38" s="7" t="str">
        <f>IF(I38 = SalaryDetails!E38,"1","0")</f>
        <v>1</v>
      </c>
      <c r="K38">
        <v>4095.39990234375</v>
      </c>
      <c r="L38" t="str">
        <f>IF(ROUND(Sheet1!K38,2)=SalaryDetails!F38,"1","0")</f>
        <v>1</v>
      </c>
    </row>
    <row r="39" spans="1:12" x14ac:dyDescent="0.3">
      <c r="A39" t="s">
        <v>122</v>
      </c>
      <c r="B39" s="7" t="str">
        <f>IF(A39=SalaryDetails!A39,"1","0")</f>
        <v>1</v>
      </c>
      <c r="C39">
        <v>3684</v>
      </c>
      <c r="D39" s="7" t="str">
        <f>IF(C39 = SalaryDetails!B39, "1","0")</f>
        <v>1</v>
      </c>
      <c r="E39">
        <v>650</v>
      </c>
      <c r="F39" s="7" t="str">
        <f>IF(E39=SalaryDetails!C39,"1","0")</f>
        <v>1</v>
      </c>
      <c r="G39">
        <v>190.52000427246099</v>
      </c>
      <c r="H39" s="7" t="str">
        <f>IF(ROUND(G39,2)=SalaryDetails!D39,"1","0")</f>
        <v>1</v>
      </c>
      <c r="I39">
        <v>4334</v>
      </c>
      <c r="J39" s="7" t="str">
        <f>IF(I39 = SalaryDetails!E39,"1","0")</f>
        <v>1</v>
      </c>
      <c r="K39">
        <v>4143.47998046875</v>
      </c>
      <c r="L39" t="str">
        <f>IF(ROUND(Sheet1!K39,2)=SalaryDetails!F39,"1","0")</f>
        <v>1</v>
      </c>
    </row>
    <row r="40" spans="1:12" x14ac:dyDescent="0.3">
      <c r="A40" t="s">
        <v>124</v>
      </c>
      <c r="B40" s="7" t="str">
        <f>IF(A40=SalaryDetails!A40,"1","0")</f>
        <v>1</v>
      </c>
      <c r="C40">
        <v>3736</v>
      </c>
      <c r="D40" s="7" t="str">
        <f>IF(C40 = SalaryDetails!B40, "1","0")</f>
        <v>1</v>
      </c>
      <c r="E40">
        <v>700</v>
      </c>
      <c r="F40" s="7" t="str">
        <f>IF(E40=SalaryDetails!C40,"1","0")</f>
        <v>1</v>
      </c>
      <c r="G40">
        <v>490.60000610351602</v>
      </c>
      <c r="H40" s="7" t="str">
        <f>IF(ROUND(G40,2)=SalaryDetails!D40,"1","0")</f>
        <v>1</v>
      </c>
      <c r="I40">
        <v>4436</v>
      </c>
      <c r="J40" s="7" t="str">
        <f>IF(I40 = SalaryDetails!E40,"1","0")</f>
        <v>1</v>
      </c>
      <c r="K40">
        <v>3945.39990234375</v>
      </c>
      <c r="L40" t="str">
        <f>IF(ROUND(Sheet1!K40,2)=SalaryDetails!F40,"1","0")</f>
        <v>1</v>
      </c>
    </row>
    <row r="41" spans="1:12" x14ac:dyDescent="0.3">
      <c r="A41" t="s">
        <v>126</v>
      </c>
      <c r="B41" s="7" t="str">
        <f>IF(A41=SalaryDetails!A41,"1","0")</f>
        <v>1</v>
      </c>
      <c r="C41">
        <v>3703</v>
      </c>
      <c r="D41" s="7" t="str">
        <f>IF(C41 = SalaryDetails!B41, "1","0")</f>
        <v>1</v>
      </c>
      <c r="E41">
        <v>1800</v>
      </c>
      <c r="F41" s="7" t="str">
        <f>IF(E41=SalaryDetails!C41,"1","0")</f>
        <v>1</v>
      </c>
      <c r="G41">
        <v>434.739990234375</v>
      </c>
      <c r="H41" s="7" t="str">
        <f>IF(ROUND(G41,2)=SalaryDetails!D41,"1","0")</f>
        <v>1</v>
      </c>
      <c r="I41">
        <v>5503</v>
      </c>
      <c r="J41" s="7" t="str">
        <f>IF(I41 = SalaryDetails!E41,"1","0")</f>
        <v>1</v>
      </c>
      <c r="K41">
        <v>5068.259765625</v>
      </c>
      <c r="L41" t="str">
        <f>IF(ROUND(Sheet1!K41,2)=SalaryDetails!F41,"1","0")</f>
        <v>1</v>
      </c>
    </row>
    <row r="42" spans="1:12" x14ac:dyDescent="0.3">
      <c r="A42" t="s">
        <v>128</v>
      </c>
      <c r="B42" s="7" t="str">
        <f>IF(A42=SalaryDetails!A42,"1","0")</f>
        <v>1</v>
      </c>
      <c r="C42">
        <v>1222</v>
      </c>
      <c r="D42" s="7" t="str">
        <f>IF(C42 = SalaryDetails!B42, "1","0")</f>
        <v>1</v>
      </c>
      <c r="E42">
        <v>1449.99989318848</v>
      </c>
      <c r="F42" s="7" t="str">
        <f>IF(E42=SalaryDetails!C42,"1","0")</f>
        <v>0</v>
      </c>
      <c r="G42">
        <v>159.61000061035199</v>
      </c>
      <c r="H42" s="7" t="str">
        <f>IF(ROUND(G42,2)=SalaryDetails!D42,"1","0")</f>
        <v>1</v>
      </c>
      <c r="I42">
        <v>2671.9998931884802</v>
      </c>
      <c r="J42" s="7" t="str">
        <f>IF(I42 = SalaryDetails!E42,"1","0")</f>
        <v>0</v>
      </c>
      <c r="K42">
        <v>2512.38989257813</v>
      </c>
      <c r="L42" t="str">
        <f>IF(ROUND(Sheet1!K42,2)=SalaryDetails!F42,"1","0")</f>
        <v>1</v>
      </c>
    </row>
    <row r="43" spans="1:12" x14ac:dyDescent="0.3">
      <c r="A43" t="s">
        <v>130</v>
      </c>
      <c r="B43" s="7" t="str">
        <f>IF(A43=SalaryDetails!A43,"1","0")</f>
        <v>1</v>
      </c>
      <c r="C43">
        <v>3934</v>
      </c>
      <c r="D43" s="7" t="str">
        <f>IF(C43 = SalaryDetails!B43, "1","0")</f>
        <v>1</v>
      </c>
      <c r="E43">
        <v>1950</v>
      </c>
      <c r="F43" s="7" t="str">
        <f>IF(E43=SalaryDetails!C43,"1","0")</f>
        <v>1</v>
      </c>
      <c r="G43">
        <v>554.59997558593795</v>
      </c>
      <c r="H43" s="7" t="str">
        <f>IF(ROUND(G43,2)=SalaryDetails!D43,"1","0")</f>
        <v>1</v>
      </c>
      <c r="I43">
        <v>5884</v>
      </c>
      <c r="J43" s="7" t="str">
        <f>IF(I43 = SalaryDetails!E43,"1","0")</f>
        <v>1</v>
      </c>
      <c r="K43">
        <v>5329.39990234375</v>
      </c>
      <c r="L43" t="str">
        <f>IF(ROUND(Sheet1!K43,2)=SalaryDetails!F43,"1","0")</f>
        <v>1</v>
      </c>
    </row>
    <row r="44" spans="1:12" x14ac:dyDescent="0.3">
      <c r="A44" t="s">
        <v>132</v>
      </c>
      <c r="B44" s="7" t="str">
        <f>IF(A44=SalaryDetails!A44,"1","0")</f>
        <v>1</v>
      </c>
      <c r="C44">
        <v>2212</v>
      </c>
      <c r="D44" s="7" t="str">
        <f>IF(C44 = SalaryDetails!B44, "1","0")</f>
        <v>1</v>
      </c>
      <c r="E44">
        <v>850</v>
      </c>
      <c r="F44" s="7" t="str">
        <f>IF(E44=SalaryDetails!C44,"1","0")</f>
        <v>1</v>
      </c>
      <c r="G44">
        <v>134.27000427246099</v>
      </c>
      <c r="H44" s="7" t="str">
        <f>IF(ROUND(G44,2)=SalaryDetails!D44,"1","0")</f>
        <v>1</v>
      </c>
      <c r="I44">
        <v>3062</v>
      </c>
      <c r="J44" s="7" t="str">
        <f>IF(I44 = SalaryDetails!E44,"1","0")</f>
        <v>1</v>
      </c>
      <c r="K44">
        <v>2927.72998046875</v>
      </c>
      <c r="L44" t="str">
        <f>IF(ROUND(Sheet1!K44,2)=SalaryDetails!F44,"1","0")</f>
        <v>1</v>
      </c>
    </row>
    <row r="45" spans="1:12" x14ac:dyDescent="0.3">
      <c r="A45" t="s">
        <v>134</v>
      </c>
      <c r="B45" s="7" t="str">
        <f>IF(A45=SalaryDetails!A45,"1","0")</f>
        <v>1</v>
      </c>
      <c r="C45">
        <v>3412</v>
      </c>
      <c r="D45" s="7" t="str">
        <f>IF(C45 = SalaryDetails!B45, "1","0")</f>
        <v>1</v>
      </c>
      <c r="E45">
        <v>450</v>
      </c>
      <c r="F45" s="7" t="str">
        <f>IF(E45=SalaryDetails!C45,"1","0")</f>
        <v>1</v>
      </c>
      <c r="G45">
        <v>203.46000671386699</v>
      </c>
      <c r="H45" s="7" t="str">
        <f>IF(ROUND(G45,2)=SalaryDetails!D45,"1","0")</f>
        <v>1</v>
      </c>
      <c r="I45">
        <v>3862</v>
      </c>
      <c r="J45" s="7" t="str">
        <f>IF(I45 = SalaryDetails!E45,"1","0")</f>
        <v>1</v>
      </c>
      <c r="K45">
        <v>3658.5400390625</v>
      </c>
      <c r="L45" t="str">
        <f>IF(ROUND(Sheet1!K45,2)=SalaryDetails!F45,"1","0")</f>
        <v>1</v>
      </c>
    </row>
    <row r="46" spans="1:12" x14ac:dyDescent="0.3">
      <c r="A46" t="s">
        <v>136</v>
      </c>
      <c r="B46" s="7" t="str">
        <f>IF(A46=SalaryDetails!A46,"1","0")</f>
        <v>1</v>
      </c>
      <c r="C46">
        <v>2903</v>
      </c>
      <c r="D46" s="7" t="str">
        <f>IF(C46 = SalaryDetails!B46, "1","0")</f>
        <v>1</v>
      </c>
      <c r="E46">
        <v>50</v>
      </c>
      <c r="F46" s="7" t="str">
        <f>IF(E46=SalaryDetails!C46,"1","0")</f>
        <v>1</v>
      </c>
      <c r="G46">
        <v>188.36999511718801</v>
      </c>
      <c r="H46" s="7" t="str">
        <f>IF(ROUND(G46,2)=SalaryDetails!D46,"1","0")</f>
        <v>1</v>
      </c>
      <c r="I46">
        <v>2953</v>
      </c>
      <c r="J46" s="7" t="str">
        <f>IF(I46 = SalaryDetails!E46,"1","0")</f>
        <v>1</v>
      </c>
      <c r="K46">
        <v>2764.6298828125</v>
      </c>
      <c r="L46" t="str">
        <f>IF(ROUND(Sheet1!K46,2)=SalaryDetails!F46,"1","0")</f>
        <v>1</v>
      </c>
    </row>
    <row r="47" spans="1:12" x14ac:dyDescent="0.3">
      <c r="A47" t="s">
        <v>138</v>
      </c>
      <c r="B47" s="7" t="str">
        <f>IF(A47=SalaryDetails!A47,"1","0")</f>
        <v>1</v>
      </c>
      <c r="C47">
        <v>2916</v>
      </c>
      <c r="D47" s="7" t="str">
        <f>IF(C47 = SalaryDetails!B47, "1","0")</f>
        <v>1</v>
      </c>
      <c r="E47">
        <v>700</v>
      </c>
      <c r="F47" s="7" t="str">
        <f>IF(E47=SalaryDetails!C47,"1","0")</f>
        <v>1</v>
      </c>
      <c r="G47">
        <v>201.77000427246099</v>
      </c>
      <c r="H47" s="7" t="str">
        <f>IF(ROUND(G47,2)=SalaryDetails!D47,"1","0")</f>
        <v>1</v>
      </c>
      <c r="I47">
        <v>3616</v>
      </c>
      <c r="J47" s="7" t="str">
        <f>IF(I47 = SalaryDetails!E47,"1","0")</f>
        <v>1</v>
      </c>
      <c r="K47">
        <v>3414.22998046875</v>
      </c>
      <c r="L47" t="str">
        <f>IF(ROUND(Sheet1!K47,2)=SalaryDetails!F47,"1","0")</f>
        <v>1</v>
      </c>
    </row>
    <row r="48" spans="1:12" x14ac:dyDescent="0.3">
      <c r="A48" t="s">
        <v>140</v>
      </c>
      <c r="B48" s="7" t="str">
        <f>IF(A48=SalaryDetails!A48,"1","0")</f>
        <v>1</v>
      </c>
      <c r="C48">
        <v>3939</v>
      </c>
      <c r="D48" s="7" t="str">
        <f>IF(C48 = SalaryDetails!B48, "1","0")</f>
        <v>1</v>
      </c>
      <c r="E48">
        <v>400</v>
      </c>
      <c r="F48" s="7" t="str">
        <f>IF(E48=SalaryDetails!C48,"1","0")</f>
        <v>1</v>
      </c>
      <c r="G48">
        <v>404.32000732421898</v>
      </c>
      <c r="H48" s="7" t="str">
        <f>IF(ROUND(G48,2)=SalaryDetails!D48,"1","0")</f>
        <v>1</v>
      </c>
      <c r="I48">
        <v>4339</v>
      </c>
      <c r="J48" s="7" t="str">
        <f>IF(I48 = SalaryDetails!E48,"1","0")</f>
        <v>1</v>
      </c>
      <c r="K48">
        <v>3934.67993164063</v>
      </c>
      <c r="L48" t="str">
        <f>IF(ROUND(Sheet1!K48,2)=SalaryDetails!F48,"1","0")</f>
        <v>1</v>
      </c>
    </row>
    <row r="49" spans="1:12" x14ac:dyDescent="0.3">
      <c r="A49" t="s">
        <v>142</v>
      </c>
      <c r="B49" s="7" t="str">
        <f>IF(A49=SalaryDetails!A49,"1","0")</f>
        <v>1</v>
      </c>
      <c r="C49">
        <v>1755</v>
      </c>
      <c r="D49" s="7" t="str">
        <f>IF(C49 = SalaryDetails!B49, "1","0")</f>
        <v>1</v>
      </c>
      <c r="E49">
        <v>1000</v>
      </c>
      <c r="F49" s="7" t="str">
        <f>IF(E49=SalaryDetails!C49,"1","0")</f>
        <v>1</v>
      </c>
      <c r="G49">
        <v>230.82000732421901</v>
      </c>
      <c r="H49" s="7" t="str">
        <f>IF(ROUND(G49,2)=SalaryDetails!D49,"1","0")</f>
        <v>1</v>
      </c>
      <c r="I49">
        <v>2755</v>
      </c>
      <c r="J49" s="7" t="str">
        <f>IF(I49 = SalaryDetails!E49,"1","0")</f>
        <v>1</v>
      </c>
      <c r="K49">
        <v>2524.17993164063</v>
      </c>
      <c r="L49" t="str">
        <f>IF(ROUND(Sheet1!K49,2)=SalaryDetails!F49,"1","0")</f>
        <v>1</v>
      </c>
    </row>
    <row r="50" spans="1:12" x14ac:dyDescent="0.3">
      <c r="A50" t="s">
        <v>144</v>
      </c>
      <c r="B50" s="7" t="str">
        <f>IF(A50=SalaryDetails!A50,"1","0")</f>
        <v>1</v>
      </c>
      <c r="C50">
        <v>2926</v>
      </c>
      <c r="D50" s="7" t="str">
        <f>IF(C50 = SalaryDetails!B50, "1","0")</f>
        <v>1</v>
      </c>
      <c r="E50">
        <v>150</v>
      </c>
      <c r="F50" s="7" t="str">
        <f>IF(E50=SalaryDetails!C50,"1","0")</f>
        <v>1</v>
      </c>
      <c r="G50">
        <v>224.52000427246099</v>
      </c>
      <c r="H50" s="7" t="str">
        <f>IF(ROUND(G50,2)=SalaryDetails!D50,"1","0")</f>
        <v>1</v>
      </c>
      <c r="I50">
        <v>3076</v>
      </c>
      <c r="J50" s="7" t="str">
        <f>IF(I50 = SalaryDetails!E50,"1","0")</f>
        <v>1</v>
      </c>
      <c r="K50">
        <v>2851.47998046875</v>
      </c>
      <c r="L50" t="str">
        <f>IF(ROUND(Sheet1!K50,2)=SalaryDetails!F50,"1","0")</f>
        <v>1</v>
      </c>
    </row>
    <row r="51" spans="1:12" x14ac:dyDescent="0.3">
      <c r="A51" t="s">
        <v>146</v>
      </c>
      <c r="B51" s="7" t="str">
        <f>IF(A51=SalaryDetails!A51,"1","0")</f>
        <v>1</v>
      </c>
      <c r="C51">
        <v>2016</v>
      </c>
      <c r="D51" s="7" t="str">
        <f>IF(C51 = SalaryDetails!B51, "1","0")</f>
        <v>1</v>
      </c>
      <c r="E51">
        <v>1500</v>
      </c>
      <c r="F51" s="7" t="str">
        <f>IF(E51=SalaryDetails!C51,"1","0")</f>
        <v>1</v>
      </c>
      <c r="G51">
        <v>180.80999755859401</v>
      </c>
      <c r="H51" s="7" t="str">
        <f>IF(ROUND(G51,2)=SalaryDetails!D51,"1","0")</f>
        <v>1</v>
      </c>
      <c r="I51">
        <v>3516</v>
      </c>
      <c r="J51" s="7" t="str">
        <f>IF(I51 = SalaryDetails!E51,"1","0")</f>
        <v>1</v>
      </c>
      <c r="K51">
        <v>3335.18994140625</v>
      </c>
      <c r="L51" t="str">
        <f>IF(ROUND(Sheet1!K51,2)=SalaryDetails!F51,"1","0")</f>
        <v>1</v>
      </c>
    </row>
    <row r="52" spans="1:12" x14ac:dyDescent="0.3">
      <c r="A52" t="s">
        <v>148</v>
      </c>
      <c r="B52" s="7" t="str">
        <f>IF(A52=SalaryDetails!A52,"1","0")</f>
        <v>1</v>
      </c>
      <c r="C52">
        <v>1887</v>
      </c>
      <c r="D52" s="7" t="str">
        <f>IF(C52 = SalaryDetails!B52, "1","0")</f>
        <v>1</v>
      </c>
      <c r="E52">
        <v>950</v>
      </c>
      <c r="F52" s="7" t="str">
        <f>IF(E52=SalaryDetails!C52,"1","0")</f>
        <v>1</v>
      </c>
      <c r="G52">
        <v>164.74000549316401</v>
      </c>
      <c r="H52" s="7" t="str">
        <f>IF(ROUND(G52,2)=SalaryDetails!D52,"1","0")</f>
        <v>1</v>
      </c>
      <c r="I52">
        <v>2837</v>
      </c>
      <c r="J52" s="7" t="str">
        <f>IF(I52 = SalaryDetails!E52,"1","0")</f>
        <v>1</v>
      </c>
      <c r="K52">
        <v>2672.26000976563</v>
      </c>
      <c r="L52" t="str">
        <f>IF(ROUND(Sheet1!K52,2)=SalaryDetails!F52,"1","0")</f>
        <v>1</v>
      </c>
    </row>
    <row r="53" spans="1:12" x14ac:dyDescent="0.3">
      <c r="A53" t="s">
        <v>150</v>
      </c>
      <c r="B53" s="7" t="str">
        <f>IF(A53=SalaryDetails!A53,"1","0")</f>
        <v>1</v>
      </c>
      <c r="C53">
        <v>2012</v>
      </c>
      <c r="D53" s="7" t="str">
        <f>IF(C53 = SalaryDetails!B53, "1","0")</f>
        <v>1</v>
      </c>
      <c r="E53">
        <v>1900</v>
      </c>
      <c r="F53" s="7" t="str">
        <f>IF(E53=SalaryDetails!C53,"1","0")</f>
        <v>1</v>
      </c>
      <c r="G53">
        <v>182.28999328613301</v>
      </c>
      <c r="H53" s="7" t="str">
        <f>IF(ROUND(G53,2)=SalaryDetails!D53,"1","0")</f>
        <v>1</v>
      </c>
      <c r="I53">
        <v>3912</v>
      </c>
      <c r="J53" s="7" t="str">
        <f>IF(I53 = SalaryDetails!E53,"1","0")</f>
        <v>1</v>
      </c>
      <c r="K53">
        <v>3729.7099609375</v>
      </c>
      <c r="L53" t="str">
        <f>IF(ROUND(Sheet1!K53,2)=SalaryDetails!F53,"1","0")</f>
        <v>1</v>
      </c>
    </row>
    <row r="54" spans="1:12" x14ac:dyDescent="0.3">
      <c r="A54" t="s">
        <v>152</v>
      </c>
      <c r="B54" s="7" t="str">
        <f>IF(A54=SalaryDetails!A54,"1","0")</f>
        <v>1</v>
      </c>
      <c r="C54">
        <v>1482</v>
      </c>
      <c r="D54" s="7" t="str">
        <f>IF(C54 = SalaryDetails!B54, "1","0")</f>
        <v>1</v>
      </c>
      <c r="E54">
        <v>1550</v>
      </c>
      <c r="F54" s="7" t="str">
        <f>IF(E54=SalaryDetails!C54,"1","0")</f>
        <v>1</v>
      </c>
      <c r="G54">
        <v>157.830001831055</v>
      </c>
      <c r="H54" s="7" t="str">
        <f>IF(ROUND(G54,2)=SalaryDetails!D54,"1","0")</f>
        <v>1</v>
      </c>
      <c r="I54">
        <v>3032</v>
      </c>
      <c r="J54" s="7" t="str">
        <f>IF(I54 = SalaryDetails!E54,"1","0")</f>
        <v>1</v>
      </c>
      <c r="K54">
        <v>2874.169921875</v>
      </c>
      <c r="L54" t="str">
        <f>IF(ROUND(Sheet1!K54,2)=SalaryDetails!F54,"1","0")</f>
        <v>1</v>
      </c>
    </row>
    <row r="55" spans="1:12" x14ac:dyDescent="0.3">
      <c r="A55" t="s">
        <v>154</v>
      </c>
      <c r="B55" s="7" t="str">
        <f>IF(A55=SalaryDetails!A55,"1","0")</f>
        <v>1</v>
      </c>
      <c r="C55">
        <v>2983</v>
      </c>
      <c r="D55" s="7" t="str">
        <f>IF(C55 = SalaryDetails!B55, "1","0")</f>
        <v>1</v>
      </c>
      <c r="E55">
        <v>850</v>
      </c>
      <c r="F55" s="7" t="str">
        <f>IF(E55=SalaryDetails!C55,"1","0")</f>
        <v>1</v>
      </c>
      <c r="G55">
        <v>444.54000854492199</v>
      </c>
      <c r="H55" s="7" t="str">
        <f>IF(ROUND(G55,2)=SalaryDetails!D55,"1","0")</f>
        <v>1</v>
      </c>
      <c r="I55">
        <v>3833</v>
      </c>
      <c r="J55" s="7" t="str">
        <f>IF(I55 = SalaryDetails!E55,"1","0")</f>
        <v>1</v>
      </c>
      <c r="K55">
        <v>3388.4599609375</v>
      </c>
      <c r="L55" t="str">
        <f>IF(ROUND(Sheet1!K55,2)=SalaryDetails!F55,"1","0")</f>
        <v>1</v>
      </c>
    </row>
    <row r="56" spans="1:12" x14ac:dyDescent="0.3">
      <c r="A56" t="s">
        <v>156</v>
      </c>
      <c r="B56" s="7" t="str">
        <f>IF(A56=SalaryDetails!A56,"1","0")</f>
        <v>1</v>
      </c>
      <c r="C56">
        <v>2205</v>
      </c>
      <c r="D56" s="7" t="str">
        <f>IF(C56 = SalaryDetails!B56, "1","0")</f>
        <v>1</v>
      </c>
      <c r="E56">
        <v>1800</v>
      </c>
      <c r="F56" s="7" t="str">
        <f>IF(E56=SalaryDetails!C56,"1","0")</f>
        <v>1</v>
      </c>
      <c r="G56">
        <v>160.05000305175801</v>
      </c>
      <c r="H56" s="7" t="str">
        <f>IF(ROUND(G56,2)=SalaryDetails!D56,"1","0")</f>
        <v>1</v>
      </c>
      <c r="I56">
        <v>4005</v>
      </c>
      <c r="J56" s="7" t="str">
        <f>IF(I56 = SalaryDetails!E56,"1","0")</f>
        <v>1</v>
      </c>
      <c r="K56">
        <v>3844.94995117188</v>
      </c>
      <c r="L56" t="str">
        <f>IF(ROUND(Sheet1!K56,2)=SalaryDetails!F56,"1","0")</f>
        <v>1</v>
      </c>
    </row>
    <row r="57" spans="1:12" x14ac:dyDescent="0.3">
      <c r="A57" t="s">
        <v>158</v>
      </c>
      <c r="B57" s="7" t="str">
        <f>IF(A57=SalaryDetails!A57,"1","0")</f>
        <v>1</v>
      </c>
      <c r="C57">
        <v>2653</v>
      </c>
      <c r="D57" s="7" t="str">
        <f>IF(C57 = SalaryDetails!B57, "1","0")</f>
        <v>1</v>
      </c>
      <c r="E57">
        <v>850</v>
      </c>
      <c r="F57" s="7" t="str">
        <f>IF(E57=SalaryDetails!C57,"1","0")</f>
        <v>1</v>
      </c>
      <c r="G57">
        <v>314.13000488281301</v>
      </c>
      <c r="H57" s="7" t="str">
        <f>IF(ROUND(G57,2)=SalaryDetails!D57,"1","0")</f>
        <v>1</v>
      </c>
      <c r="I57">
        <v>3503</v>
      </c>
      <c r="J57" s="7" t="str">
        <f>IF(I57 = SalaryDetails!E57,"1","0")</f>
        <v>1</v>
      </c>
      <c r="K57">
        <v>3188.8701171875</v>
      </c>
      <c r="L57" t="str">
        <f>IF(ROUND(Sheet1!K57,2)=SalaryDetails!F57,"1","0")</f>
        <v>1</v>
      </c>
    </row>
    <row r="58" spans="1:12" x14ac:dyDescent="0.3">
      <c r="A58" t="s">
        <v>160</v>
      </c>
      <c r="B58" s="7" t="str">
        <f>IF(A58=SalaryDetails!A58,"1","0")</f>
        <v>1</v>
      </c>
      <c r="C58">
        <v>3201</v>
      </c>
      <c r="D58" s="7" t="str">
        <f>IF(C58 = SalaryDetails!B58, "1","0")</f>
        <v>1</v>
      </c>
      <c r="E58">
        <v>1400</v>
      </c>
      <c r="F58" s="7" t="str">
        <f>IF(E58=SalaryDetails!C58,"1","0")</f>
        <v>1</v>
      </c>
      <c r="G58">
        <v>431.45001220703102</v>
      </c>
      <c r="H58" s="7" t="str">
        <f>IF(ROUND(G58,2)=SalaryDetails!D58,"1","0")</f>
        <v>1</v>
      </c>
      <c r="I58">
        <v>4601</v>
      </c>
      <c r="J58" s="7" t="str">
        <f>IF(I58 = SalaryDetails!E58,"1","0")</f>
        <v>1</v>
      </c>
      <c r="K58">
        <v>4169.5498046875</v>
      </c>
      <c r="L58" t="str">
        <f>IF(ROUND(Sheet1!K58,2)=SalaryDetails!F58,"1","0")</f>
        <v>1</v>
      </c>
    </row>
    <row r="59" spans="1:12" x14ac:dyDescent="0.3">
      <c r="A59" t="s">
        <v>162</v>
      </c>
      <c r="B59" s="7" t="str">
        <f>IF(A59=SalaryDetails!A59,"1","0")</f>
        <v>1</v>
      </c>
      <c r="C59">
        <v>2454</v>
      </c>
      <c r="D59" s="7" t="str">
        <f>IF(C59 = SalaryDetails!B59, "1","0")</f>
        <v>1</v>
      </c>
      <c r="E59">
        <v>1100</v>
      </c>
      <c r="F59" s="7" t="str">
        <f>IF(E59=SalaryDetails!C59,"1","0")</f>
        <v>1</v>
      </c>
      <c r="G59">
        <v>283.13000488281301</v>
      </c>
      <c r="H59" s="7" t="str">
        <f>IF(ROUND(G59,2)=SalaryDetails!D59,"1","0")</f>
        <v>1</v>
      </c>
      <c r="I59">
        <v>3554</v>
      </c>
      <c r="J59" s="7" t="str">
        <f>IF(I59 = SalaryDetails!E59,"1","0")</f>
        <v>1</v>
      </c>
      <c r="K59">
        <v>3270.8701171875</v>
      </c>
      <c r="L59" t="str">
        <f>IF(ROUND(Sheet1!K59,2)=SalaryDetails!F59,"1","0")</f>
        <v>1</v>
      </c>
    </row>
    <row r="60" spans="1:12" x14ac:dyDescent="0.3">
      <c r="A60" t="s">
        <v>164</v>
      </c>
      <c r="B60" s="7" t="str">
        <f>IF(A60=SalaryDetails!A60,"1","0")</f>
        <v>1</v>
      </c>
      <c r="C60">
        <v>2229</v>
      </c>
      <c r="D60" s="7" t="str">
        <f>IF(C60 = SalaryDetails!B60, "1","0")</f>
        <v>1</v>
      </c>
      <c r="E60">
        <v>1700</v>
      </c>
      <c r="F60" s="7" t="str">
        <f>IF(E60=SalaryDetails!C60,"1","0")</f>
        <v>1</v>
      </c>
      <c r="G60">
        <v>302.75</v>
      </c>
      <c r="H60" s="7" t="str">
        <f>IF(ROUND(G60,2)=SalaryDetails!D60,"1","0")</f>
        <v>1</v>
      </c>
      <c r="I60">
        <v>3929</v>
      </c>
      <c r="J60" s="7" t="str">
        <f>IF(I60 = SalaryDetails!E60,"1","0")</f>
        <v>1</v>
      </c>
      <c r="K60">
        <v>3626.25</v>
      </c>
      <c r="L60" t="str">
        <f>IF(ROUND(Sheet1!K60,2)=SalaryDetails!F60,"1","0")</f>
        <v>1</v>
      </c>
    </row>
    <row r="61" spans="1:12" x14ac:dyDescent="0.3">
      <c r="A61" t="s">
        <v>166</v>
      </c>
      <c r="B61" s="7" t="str">
        <f>IF(A61=SalaryDetails!A61,"1","0")</f>
        <v>1</v>
      </c>
      <c r="C61">
        <v>3614</v>
      </c>
      <c r="D61" s="7" t="str">
        <f>IF(C61 = SalaryDetails!B61, "1","0")</f>
        <v>1</v>
      </c>
      <c r="E61">
        <v>900</v>
      </c>
      <c r="F61" s="7" t="str">
        <f>IF(E61=SalaryDetails!C61,"1","0")</f>
        <v>1</v>
      </c>
      <c r="G61">
        <v>455.20999145507801</v>
      </c>
      <c r="H61" s="7" t="str">
        <f>IF(ROUND(G61,2)=SalaryDetails!D61,"1","0")</f>
        <v>1</v>
      </c>
      <c r="I61">
        <v>4514</v>
      </c>
      <c r="J61" s="7" t="str">
        <f>IF(I61 = SalaryDetails!E61,"1","0")</f>
        <v>1</v>
      </c>
      <c r="K61">
        <v>4058.7900085449201</v>
      </c>
      <c r="L61" t="str">
        <f>IF(ROUND(Sheet1!K61,2)=SalaryDetails!F61,"1","0")</f>
        <v>1</v>
      </c>
    </row>
    <row r="62" spans="1:12" x14ac:dyDescent="0.3">
      <c r="A62" t="s">
        <v>168</v>
      </c>
      <c r="B62" s="7" t="str">
        <f>IF(A62=SalaryDetails!A62,"1","0")</f>
        <v>1</v>
      </c>
      <c r="C62">
        <v>1718</v>
      </c>
      <c r="D62" s="7" t="str">
        <f>IF(C62 = SalaryDetails!B62, "1","0")</f>
        <v>1</v>
      </c>
      <c r="E62">
        <v>400</v>
      </c>
      <c r="F62" s="7" t="str">
        <f>IF(E62=SalaryDetails!C62,"1","0")</f>
        <v>1</v>
      </c>
      <c r="G62">
        <v>101.959999084473</v>
      </c>
      <c r="H62" s="7" t="str">
        <f>IF(ROUND(G62,2)=SalaryDetails!D62,"1","0")</f>
        <v>1</v>
      </c>
      <c r="I62">
        <v>2118</v>
      </c>
      <c r="J62" s="7" t="str">
        <f>IF(I62 = SalaryDetails!E62,"1","0")</f>
        <v>1</v>
      </c>
      <c r="K62">
        <v>2016.0400390625</v>
      </c>
      <c r="L62" t="str">
        <f>IF(ROUND(Sheet1!K62,2)=SalaryDetails!F62,"1","0")</f>
        <v>1</v>
      </c>
    </row>
    <row r="63" spans="1:12" x14ac:dyDescent="0.3">
      <c r="A63" t="s">
        <v>170</v>
      </c>
      <c r="B63" s="7" t="str">
        <f>IF(A63=SalaryDetails!A63,"1","0")</f>
        <v>1</v>
      </c>
      <c r="C63">
        <v>2595</v>
      </c>
      <c r="D63" s="7" t="str">
        <f>IF(C63 = SalaryDetails!B63, "1","0")</f>
        <v>1</v>
      </c>
      <c r="E63">
        <v>350</v>
      </c>
      <c r="F63" s="7" t="str">
        <f>IF(E63=SalaryDetails!C63,"1","0")</f>
        <v>1</v>
      </c>
      <c r="G63">
        <v>228.169998168945</v>
      </c>
      <c r="H63" s="7" t="str">
        <f>IF(ROUND(G63,2)=SalaryDetails!D63,"1","0")</f>
        <v>1</v>
      </c>
      <c r="I63">
        <v>2945</v>
      </c>
      <c r="J63" s="7" t="str">
        <f>IF(I63 = SalaryDetails!E63,"1","0")</f>
        <v>1</v>
      </c>
      <c r="K63">
        <v>2716.830078125</v>
      </c>
      <c r="L63" t="str">
        <f>IF(ROUND(Sheet1!K63,2)=SalaryDetails!F63,"1","0")</f>
        <v>1</v>
      </c>
    </row>
    <row r="64" spans="1:12" x14ac:dyDescent="0.3">
      <c r="A64" t="s">
        <v>172</v>
      </c>
      <c r="B64" s="7" t="str">
        <f>IF(A64=SalaryDetails!A64,"1","0")</f>
        <v>1</v>
      </c>
      <c r="C64">
        <v>1419</v>
      </c>
      <c r="D64" s="7" t="str">
        <f>IF(C64 = SalaryDetails!B64, "1","0")</f>
        <v>1</v>
      </c>
      <c r="E64">
        <v>250</v>
      </c>
      <c r="F64" s="7" t="str">
        <f>IF(E64=SalaryDetails!C64,"1","0")</f>
        <v>1</v>
      </c>
      <c r="G64">
        <v>149.38000488281301</v>
      </c>
      <c r="H64" s="7" t="str">
        <f>IF(ROUND(G64,2)=SalaryDetails!D64,"1","0")</f>
        <v>1</v>
      </c>
      <c r="I64">
        <v>1669</v>
      </c>
      <c r="J64" s="7" t="str">
        <f>IF(I64 = SalaryDetails!E64,"1","0")</f>
        <v>1</v>
      </c>
      <c r="K64">
        <v>1519.61999511719</v>
      </c>
      <c r="L64" t="str">
        <f>IF(ROUND(Sheet1!K64,2)=SalaryDetails!F64,"1","0")</f>
        <v>1</v>
      </c>
    </row>
    <row r="65" spans="1:12" x14ac:dyDescent="0.3">
      <c r="A65" t="s">
        <v>174</v>
      </c>
      <c r="B65" s="7" t="str">
        <f>IF(A65=SalaryDetails!A65,"1","0")</f>
        <v>1</v>
      </c>
      <c r="C65">
        <v>3733</v>
      </c>
      <c r="D65" s="7" t="str">
        <f>IF(C65 = SalaryDetails!B65, "1","0")</f>
        <v>1</v>
      </c>
      <c r="E65">
        <v>950</v>
      </c>
      <c r="F65" s="7" t="str">
        <f>IF(E65=SalaryDetails!C65,"1","0")</f>
        <v>1</v>
      </c>
      <c r="G65">
        <v>207.60000610351599</v>
      </c>
      <c r="H65" s="7" t="str">
        <f>IF(ROUND(G65,2)=SalaryDetails!D65,"1","0")</f>
        <v>1</v>
      </c>
      <c r="I65">
        <v>4683</v>
      </c>
      <c r="J65" s="7" t="str">
        <f>IF(I65 = SalaryDetails!E65,"1","0")</f>
        <v>1</v>
      </c>
      <c r="K65">
        <v>4475.39990234375</v>
      </c>
      <c r="L65" t="str">
        <f>IF(ROUND(Sheet1!K65,2)=SalaryDetails!F65,"1","0")</f>
        <v>1</v>
      </c>
    </row>
    <row r="66" spans="1:12" x14ac:dyDescent="0.3">
      <c r="A66" t="s">
        <v>176</v>
      </c>
      <c r="B66" s="7" t="str">
        <f>IF(A66=SalaryDetails!A66,"1","0")</f>
        <v>1</v>
      </c>
      <c r="C66">
        <v>1606</v>
      </c>
      <c r="D66" s="7" t="str">
        <f>IF(C66 = SalaryDetails!B66, "1","0")</f>
        <v>1</v>
      </c>
      <c r="E66">
        <v>250</v>
      </c>
      <c r="F66" s="7" t="str">
        <f>IF(E66=SalaryDetails!C66,"1","0")</f>
        <v>1</v>
      </c>
      <c r="G66">
        <v>81.819999694824205</v>
      </c>
      <c r="H66" s="7" t="str">
        <f>IF(ROUND(G66,2)=SalaryDetails!D66,"1","0")</f>
        <v>1</v>
      </c>
      <c r="I66">
        <v>1856</v>
      </c>
      <c r="J66" s="7" t="str">
        <f>IF(I66 = SalaryDetails!E66,"1","0")</f>
        <v>1</v>
      </c>
      <c r="K66">
        <v>1774.18005371094</v>
      </c>
      <c r="L66" t="str">
        <f>IF(ROUND(Sheet1!K66,2)=SalaryDetails!F66,"1","0")</f>
        <v>1</v>
      </c>
    </row>
    <row r="67" spans="1:12" x14ac:dyDescent="0.3">
      <c r="A67" t="s">
        <v>178</v>
      </c>
      <c r="B67" s="7" t="str">
        <f>IF(A67=SalaryDetails!A67,"1","0")</f>
        <v>1</v>
      </c>
      <c r="C67">
        <v>3045</v>
      </c>
      <c r="D67" s="7" t="str">
        <f>IF(C67 = SalaryDetails!B67, "1","0")</f>
        <v>1</v>
      </c>
      <c r="E67">
        <v>900</v>
      </c>
      <c r="F67" s="7" t="str">
        <f>IF(E67=SalaryDetails!C67,"1","0")</f>
        <v>1</v>
      </c>
      <c r="G67">
        <v>204.44000244140599</v>
      </c>
      <c r="H67" s="7" t="str">
        <f>IF(ROUND(G67,2)=SalaryDetails!D67,"1","0")</f>
        <v>1</v>
      </c>
      <c r="I67">
        <v>3945</v>
      </c>
      <c r="J67" s="7" t="str">
        <f>IF(I67 = SalaryDetails!E67,"1","0")</f>
        <v>1</v>
      </c>
      <c r="K67">
        <v>3740.56005859375</v>
      </c>
      <c r="L67" t="str">
        <f>IF(ROUND(Sheet1!K67,2)=SalaryDetails!F67,"1","0")</f>
        <v>1</v>
      </c>
    </row>
    <row r="68" spans="1:12" x14ac:dyDescent="0.3">
      <c r="A68" t="s">
        <v>180</v>
      </c>
      <c r="B68" s="7" t="str">
        <f>IF(A68=SalaryDetails!A68,"1","0")</f>
        <v>1</v>
      </c>
      <c r="C68">
        <v>3760</v>
      </c>
      <c r="D68" s="7" t="str">
        <f>IF(C68 = SalaryDetails!B68, "1","0")</f>
        <v>1</v>
      </c>
      <c r="E68">
        <v>1700</v>
      </c>
      <c r="F68" s="7" t="str">
        <f>IF(E68=SalaryDetails!C68,"1","0")</f>
        <v>1</v>
      </c>
      <c r="G68">
        <v>375.95001220703102</v>
      </c>
      <c r="H68" s="7" t="str">
        <f>IF(ROUND(G68,2)=SalaryDetails!D68,"1","0")</f>
        <v>1</v>
      </c>
      <c r="I68">
        <v>5460</v>
      </c>
      <c r="J68" s="7" t="str">
        <f>IF(I68 = SalaryDetails!E68,"1","0")</f>
        <v>1</v>
      </c>
      <c r="K68">
        <v>5084.0498046875</v>
      </c>
      <c r="L68" t="str">
        <f>IF(ROUND(Sheet1!K68,2)=SalaryDetails!F68,"1","0")</f>
        <v>1</v>
      </c>
    </row>
    <row r="69" spans="1:12" x14ac:dyDescent="0.3">
      <c r="A69" t="s">
        <v>182</v>
      </c>
      <c r="B69" s="7" t="str">
        <f>IF(A69=SalaryDetails!A69,"1","0")</f>
        <v>1</v>
      </c>
      <c r="C69">
        <v>3637</v>
      </c>
      <c r="D69" s="7" t="str">
        <f>IF(C69 = SalaryDetails!B69, "1","0")</f>
        <v>1</v>
      </c>
      <c r="E69">
        <v>950</v>
      </c>
      <c r="F69" s="7" t="str">
        <f>IF(E69=SalaryDetails!C69,"1","0")</f>
        <v>1</v>
      </c>
      <c r="G69">
        <v>339.66000366210898</v>
      </c>
      <c r="H69" s="7" t="str">
        <f>IF(ROUND(G69,2)=SalaryDetails!D69,"1","0")</f>
        <v>1</v>
      </c>
      <c r="I69">
        <v>4587</v>
      </c>
      <c r="J69" s="7" t="str">
        <f>IF(I69 = SalaryDetails!E69,"1","0")</f>
        <v>1</v>
      </c>
      <c r="K69">
        <v>4247.33984375</v>
      </c>
      <c r="L69" t="str">
        <f>IF(ROUND(Sheet1!K69,2)=SalaryDetails!F69,"1","0")</f>
        <v>1</v>
      </c>
    </row>
    <row r="70" spans="1:12" x14ac:dyDescent="0.3">
      <c r="A70" t="s">
        <v>184</v>
      </c>
      <c r="B70" s="7" t="str">
        <f>IF(A70=SalaryDetails!A70,"1","0")</f>
        <v>1</v>
      </c>
      <c r="C70">
        <v>3649</v>
      </c>
      <c r="D70" s="7" t="str">
        <f>IF(C70 = SalaryDetails!B70, "1","0")</f>
        <v>1</v>
      </c>
      <c r="E70">
        <v>468.669921875</v>
      </c>
      <c r="F70" s="7" t="str">
        <f>IF(E70=SalaryDetails!C70,"1","0")</f>
        <v>0</v>
      </c>
      <c r="G70">
        <v>887.33984375</v>
      </c>
      <c r="H70" s="7" t="str">
        <f>IF(ROUND(G70,2)=SalaryDetails!D70,"1","0")</f>
        <v>0</v>
      </c>
      <c r="I70">
        <v>3699</v>
      </c>
      <c r="J70" s="7" t="str">
        <f>IF(I70 = SalaryDetails!E70,"1","0")</f>
        <v>1</v>
      </c>
      <c r="K70">
        <v>3230.330078125</v>
      </c>
      <c r="L70" t="str">
        <f>IF(ROUND(Sheet1!K70,2)=SalaryDetails!F70,"1","0")</f>
        <v>1</v>
      </c>
    </row>
    <row r="71" spans="1:12" x14ac:dyDescent="0.3">
      <c r="A71" t="s">
        <v>186</v>
      </c>
      <c r="B71" s="7" t="str">
        <f>IF(A71=SalaryDetails!A71,"1","0")</f>
        <v>1</v>
      </c>
      <c r="C71">
        <v>3953</v>
      </c>
      <c r="D71" s="7" t="str">
        <f>IF(C71 = SalaryDetails!B71, "1","0")</f>
        <v>1</v>
      </c>
      <c r="E71">
        <v>1500</v>
      </c>
      <c r="F71" s="7" t="str">
        <f>IF(E71=SalaryDetails!C71,"1","0")</f>
        <v>1</v>
      </c>
      <c r="G71">
        <v>421.32998657226602</v>
      </c>
      <c r="H71" s="7" t="str">
        <f>IF(ROUND(G71,2)=SalaryDetails!D71,"1","0")</f>
        <v>1</v>
      </c>
      <c r="I71">
        <v>5453</v>
      </c>
      <c r="J71" s="7" t="str">
        <f>IF(I71 = SalaryDetails!E71,"1","0")</f>
        <v>1</v>
      </c>
      <c r="K71">
        <v>5031.669921875</v>
      </c>
      <c r="L71" t="str">
        <f>IF(ROUND(Sheet1!K71,2)=SalaryDetails!F71,"1","0")</f>
        <v>1</v>
      </c>
    </row>
    <row r="72" spans="1:12" x14ac:dyDescent="0.3">
      <c r="A72" t="s">
        <v>188</v>
      </c>
      <c r="B72" s="7" t="str">
        <f>IF(A72=SalaryDetails!A72,"1","0")</f>
        <v>1</v>
      </c>
      <c r="C72" s="8">
        <v>3214</v>
      </c>
      <c r="D72" s="7" t="str">
        <f>IF(C72 = SalaryDetails!B72, "1","0")</f>
        <v>1</v>
      </c>
      <c r="E72" s="8">
        <v>1000</v>
      </c>
      <c r="F72" s="7" t="str">
        <f>IF(E72=SalaryDetails!C72,"1","0")</f>
        <v>1</v>
      </c>
      <c r="G72" s="8">
        <v>436.45</v>
      </c>
      <c r="H72" s="7" t="str">
        <f>IF(ROUND(G72,2)=SalaryDetails!D72,"1","0")</f>
        <v>1</v>
      </c>
      <c r="I72" s="8">
        <v>4214</v>
      </c>
      <c r="J72" s="7" t="str">
        <f>IF(I72 = SalaryDetails!E72,"1","0")</f>
        <v>1</v>
      </c>
      <c r="K72" s="8">
        <v>3777.55</v>
      </c>
      <c r="L72" t="str">
        <f>IF(ROUND(Sheet1!K72,2)=SalaryDetails!F72,"1","0")</f>
        <v>1</v>
      </c>
    </row>
    <row r="73" spans="1:12" x14ac:dyDescent="0.3">
      <c r="A73" t="s">
        <v>190</v>
      </c>
      <c r="B73" s="7" t="str">
        <f>IF(A73=SalaryDetails!A73,"1","0")</f>
        <v>1</v>
      </c>
      <c r="C73">
        <v>2840</v>
      </c>
      <c r="D73" s="7" t="str">
        <f>IF(C73 = SalaryDetails!B73, "1","0")</f>
        <v>1</v>
      </c>
      <c r="E73">
        <v>800</v>
      </c>
      <c r="F73" s="7" t="str">
        <f>IF(E73=SalaryDetails!C73,"1","0")</f>
        <v>1</v>
      </c>
      <c r="G73">
        <v>169.080001831055</v>
      </c>
      <c r="H73" s="7" t="str">
        <f>IF(ROUND(G73,2)=SalaryDetails!D73,"1","0")</f>
        <v>1</v>
      </c>
      <c r="I73">
        <v>3640</v>
      </c>
      <c r="J73" s="7" t="str">
        <f>IF(I73 = SalaryDetails!E73,"1","0")</f>
        <v>1</v>
      </c>
      <c r="K73">
        <v>3470.919921875</v>
      </c>
      <c r="L73" t="str">
        <f>IF(ROUND(Sheet1!K73,2)=SalaryDetails!F73,"1","0")</f>
        <v>1</v>
      </c>
    </row>
    <row r="74" spans="1:12" x14ac:dyDescent="0.3">
      <c r="A74" t="s">
        <v>192</v>
      </c>
      <c r="B74" s="7" t="str">
        <f>IF(A74=SalaryDetails!A74,"1","0")</f>
        <v>1</v>
      </c>
      <c r="C74">
        <v>3422</v>
      </c>
      <c r="D74" s="7" t="str">
        <f>IF(C74 = SalaryDetails!B74, "1","0")</f>
        <v>1</v>
      </c>
      <c r="E74">
        <v>1150</v>
      </c>
      <c r="F74" s="7" t="str">
        <f>IF(E74=SalaryDetails!C74,"1","0")</f>
        <v>1</v>
      </c>
      <c r="G74">
        <v>351.83999633789102</v>
      </c>
      <c r="H74" s="7" t="str">
        <f>IF(ROUND(G74,2)=SalaryDetails!D74,"1","0")</f>
        <v>1</v>
      </c>
      <c r="I74">
        <v>4572</v>
      </c>
      <c r="J74" s="7" t="str">
        <f>IF(I74 = SalaryDetails!E74,"1","0")</f>
        <v>1</v>
      </c>
      <c r="K74">
        <v>4220.16015625</v>
      </c>
      <c r="L74" t="str">
        <f>IF(ROUND(Sheet1!K74,2)=SalaryDetails!F74,"1","0")</f>
        <v>1</v>
      </c>
    </row>
    <row r="75" spans="1:12" x14ac:dyDescent="0.3">
      <c r="A75" t="s">
        <v>194</v>
      </c>
      <c r="B75" s="7" t="str">
        <f>IF(A75=SalaryDetails!A75,"1","0")</f>
        <v>1</v>
      </c>
      <c r="C75">
        <v>2379</v>
      </c>
      <c r="D75" s="7" t="str">
        <f>IF(C75 = SalaryDetails!B75, "1","0")</f>
        <v>1</v>
      </c>
      <c r="E75">
        <v>2000</v>
      </c>
      <c r="F75" s="7" t="str">
        <f>IF(E75=SalaryDetails!C75,"1","0")</f>
        <v>1</v>
      </c>
      <c r="G75">
        <v>129.07000732421901</v>
      </c>
      <c r="H75" s="7" t="str">
        <f>IF(ROUND(G75,2)=SalaryDetails!D75,"1","0")</f>
        <v>1</v>
      </c>
      <c r="I75">
        <v>4379</v>
      </c>
      <c r="J75" s="7" t="str">
        <f>IF(I75 = SalaryDetails!E75,"1","0")</f>
        <v>1</v>
      </c>
      <c r="K75">
        <v>4249.9299926757803</v>
      </c>
      <c r="L75" t="str">
        <f>IF(ROUND(Sheet1!K75,2)=SalaryDetails!F75,"1","0")</f>
        <v>1</v>
      </c>
    </row>
    <row r="76" spans="1:12" x14ac:dyDescent="0.3">
      <c r="A76" t="s">
        <v>196</v>
      </c>
      <c r="B76" s="7" t="str">
        <f>IF(A76=SalaryDetails!A76,"1","0")</f>
        <v>1</v>
      </c>
      <c r="C76">
        <v>1581</v>
      </c>
      <c r="D76" s="7" t="str">
        <f>IF(C76 = SalaryDetails!B76, "1","0")</f>
        <v>1</v>
      </c>
      <c r="E76">
        <v>450</v>
      </c>
      <c r="F76" s="7" t="str">
        <f>IF(E76=SalaryDetails!C76,"1","0")</f>
        <v>1</v>
      </c>
      <c r="G76">
        <v>112.48000335693401</v>
      </c>
      <c r="H76" s="7" t="str">
        <f>IF(ROUND(G76,2)=SalaryDetails!D76,"1","0")</f>
        <v>1</v>
      </c>
      <c r="I76">
        <v>2031</v>
      </c>
      <c r="J76" s="7" t="str">
        <f>IF(I76 = SalaryDetails!E76,"1","0")</f>
        <v>1</v>
      </c>
      <c r="K76">
        <v>1918.52001953125</v>
      </c>
      <c r="L76" t="str">
        <f>IF(ROUND(Sheet1!K76,2)=SalaryDetails!F76,"1","0")</f>
        <v>1</v>
      </c>
    </row>
    <row r="77" spans="1:12" x14ac:dyDescent="0.3">
      <c r="A77" t="s">
        <v>198</v>
      </c>
      <c r="B77" s="7" t="str">
        <f>IF(A77=SalaryDetails!A77,"1","0")</f>
        <v>1</v>
      </c>
      <c r="C77">
        <v>3176</v>
      </c>
      <c r="D77" s="7" t="str">
        <f>IF(C77 = SalaryDetails!B77, "1","0")</f>
        <v>1</v>
      </c>
      <c r="E77">
        <v>1200</v>
      </c>
      <c r="F77" s="7" t="str">
        <f>IF(E77=SalaryDetails!C77,"1","0")</f>
        <v>1</v>
      </c>
      <c r="G77">
        <v>434.510009765625</v>
      </c>
      <c r="H77" s="7" t="str">
        <f>IF(ROUND(G77,2)=SalaryDetails!D77,"1","0")</f>
        <v>1</v>
      </c>
      <c r="I77">
        <v>4376</v>
      </c>
      <c r="J77" s="7" t="str">
        <f>IF(I77 = SalaryDetails!E77,"1","0")</f>
        <v>1</v>
      </c>
      <c r="K77">
        <v>3941.48999023438</v>
      </c>
      <c r="L77" t="str">
        <f>IF(ROUND(Sheet1!K77,2)=SalaryDetails!F77,"1","0")</f>
        <v>1</v>
      </c>
    </row>
    <row r="78" spans="1:12" x14ac:dyDescent="0.3">
      <c r="A78" t="s">
        <v>200</v>
      </c>
      <c r="B78" s="7" t="str">
        <f>IF(A78=SalaryDetails!A78,"1","0")</f>
        <v>1</v>
      </c>
      <c r="C78">
        <v>2899</v>
      </c>
      <c r="D78" s="7" t="str">
        <f>IF(C78 = SalaryDetails!B78, "1","0")</f>
        <v>1</v>
      </c>
      <c r="E78">
        <v>900</v>
      </c>
      <c r="F78" s="7" t="str">
        <f>IF(E78=SalaryDetails!C78,"1","0")</f>
        <v>1</v>
      </c>
      <c r="G78">
        <v>402.25</v>
      </c>
      <c r="H78" s="7" t="str">
        <f>IF(ROUND(G78,2)=SalaryDetails!D78,"1","0")</f>
        <v>1</v>
      </c>
      <c r="I78">
        <v>3799</v>
      </c>
      <c r="J78" s="7" t="str">
        <f>IF(I78 = SalaryDetails!E78,"1","0")</f>
        <v>1</v>
      </c>
      <c r="K78">
        <v>3396.75</v>
      </c>
      <c r="L78" t="str">
        <f>IF(ROUND(Sheet1!K78,2)=SalaryDetails!F78,"1","0")</f>
        <v>1</v>
      </c>
    </row>
    <row r="79" spans="1:12" x14ac:dyDescent="0.3">
      <c r="A79" t="s">
        <v>202</v>
      </c>
      <c r="B79" s="7" t="str">
        <f>IF(A79=SalaryDetails!A79,"1","0")</f>
        <v>1</v>
      </c>
      <c r="C79">
        <v>2561</v>
      </c>
      <c r="D79" s="7" t="str">
        <f>IF(C79 = SalaryDetails!B79, "1","0")</f>
        <v>1</v>
      </c>
      <c r="E79">
        <v>600</v>
      </c>
      <c r="F79" s="7" t="str">
        <f>IF(E79=SalaryDetails!C79,"1","0")</f>
        <v>1</v>
      </c>
      <c r="G79">
        <v>249.830001831055</v>
      </c>
      <c r="H79" s="7" t="str">
        <f>IF(ROUND(G79,2)=SalaryDetails!D79,"1","0")</f>
        <v>1</v>
      </c>
      <c r="I79">
        <v>3161</v>
      </c>
      <c r="J79" s="7" t="str">
        <f>IF(I79 = SalaryDetails!E79,"1","0")</f>
        <v>1</v>
      </c>
      <c r="K79">
        <v>2911.169921875</v>
      </c>
      <c r="L79" t="str">
        <f>IF(ROUND(Sheet1!K79,2)=SalaryDetails!F79,"1","0")</f>
        <v>1</v>
      </c>
    </row>
    <row r="80" spans="1:12" x14ac:dyDescent="0.3">
      <c r="A80" t="s">
        <v>204</v>
      </c>
      <c r="B80" s="7" t="str">
        <f>IF(A80=SalaryDetails!A80,"1","0")</f>
        <v>1</v>
      </c>
      <c r="C80" s="8">
        <v>3137</v>
      </c>
      <c r="D80" s="7" t="str">
        <f>IF(C80 = SalaryDetails!B80, "1","0")</f>
        <v>1</v>
      </c>
      <c r="E80" s="8">
        <v>400</v>
      </c>
      <c r="F80" s="7" t="str">
        <f>IF(E80=SalaryDetails!C80,"1","0")</f>
        <v>1</v>
      </c>
      <c r="G80" s="8">
        <v>171.46</v>
      </c>
      <c r="H80" s="7" t="str">
        <f>IF(ROUND(G80,2)=SalaryDetails!D80,"1","0")</f>
        <v>1</v>
      </c>
      <c r="I80" s="8">
        <v>3537</v>
      </c>
      <c r="J80" s="7" t="str">
        <f>IF(I80 = SalaryDetails!E80,"1","0")</f>
        <v>1</v>
      </c>
      <c r="K80" s="8">
        <v>3365.54</v>
      </c>
      <c r="L80" t="str">
        <f>IF(ROUND(Sheet1!K80,2)=SalaryDetails!F80,"1","0")</f>
        <v>1</v>
      </c>
    </row>
    <row r="81" spans="1:12" x14ac:dyDescent="0.3">
      <c r="A81" t="s">
        <v>206</v>
      </c>
      <c r="B81" s="7" t="str">
        <f>IF(A81=SalaryDetails!A81,"1","0")</f>
        <v>1</v>
      </c>
      <c r="C81">
        <v>1262</v>
      </c>
      <c r="D81" s="7" t="str">
        <f>IF(C81 = SalaryDetails!B81, "1","0")</f>
        <v>1</v>
      </c>
      <c r="E81">
        <v>800</v>
      </c>
      <c r="F81" s="7" t="str">
        <f>IF(E81=SalaryDetails!C81,"1","0")</f>
        <v>1</v>
      </c>
      <c r="G81">
        <v>72.480003356933594</v>
      </c>
      <c r="H81" s="7" t="str">
        <f>IF(ROUND(G81,2)=SalaryDetails!D81,"1","0")</f>
        <v>1</v>
      </c>
      <c r="I81">
        <v>2062</v>
      </c>
      <c r="J81" s="7" t="str">
        <f>IF(I81 = SalaryDetails!E81,"1","0")</f>
        <v>1</v>
      </c>
      <c r="K81">
        <v>1989.52001953125</v>
      </c>
      <c r="L81" t="str">
        <f>IF(ROUND(Sheet1!K81,2)=SalaryDetails!F81,"1","0")</f>
        <v>1</v>
      </c>
    </row>
    <row r="82" spans="1:12" x14ac:dyDescent="0.3">
      <c r="A82" t="s">
        <v>208</v>
      </c>
      <c r="B82" s="7" t="str">
        <f>IF(A82=SalaryDetails!A82,"1","0")</f>
        <v>1</v>
      </c>
      <c r="C82">
        <v>2497</v>
      </c>
      <c r="D82" s="7" t="str">
        <f>IF(C82 = SalaryDetails!B82, "1","0")</f>
        <v>1</v>
      </c>
      <c r="E82">
        <v>750</v>
      </c>
      <c r="F82" s="7" t="str">
        <f>IF(E82=SalaryDetails!C82,"1","0")</f>
        <v>1</v>
      </c>
      <c r="G82">
        <v>355.97000122070301</v>
      </c>
      <c r="H82" s="7" t="str">
        <f>IF(ROUND(G82,2)=SalaryDetails!D82,"1","0")</f>
        <v>1</v>
      </c>
      <c r="I82">
        <v>3247</v>
      </c>
      <c r="J82" s="7" t="str">
        <f>IF(I82 = SalaryDetails!E82,"1","0")</f>
        <v>1</v>
      </c>
      <c r="K82">
        <v>2891.03002929688</v>
      </c>
      <c r="L82" t="str">
        <f>IF(ROUND(Sheet1!K82,2)=SalaryDetails!F82,"1","0")</f>
        <v>1</v>
      </c>
    </row>
    <row r="83" spans="1:12" x14ac:dyDescent="0.3">
      <c r="A83" t="s">
        <v>210</v>
      </c>
      <c r="B83" s="7" t="str">
        <f>IF(A83=SalaryDetails!A83,"1","0")</f>
        <v>1</v>
      </c>
      <c r="C83">
        <v>1611</v>
      </c>
      <c r="D83" s="7" t="str">
        <f>IF(C83 = SalaryDetails!B83, "1","0")</f>
        <v>1</v>
      </c>
      <c r="E83">
        <v>100</v>
      </c>
      <c r="F83" s="7" t="str">
        <f>IF(E83=SalaryDetails!C83,"1","0")</f>
        <v>1</v>
      </c>
      <c r="G83">
        <v>225.43</v>
      </c>
      <c r="H83" s="7" t="str">
        <f>IF(ROUND(G83,2)=SalaryDetails!D83,"1","0")</f>
        <v>1</v>
      </c>
      <c r="I83">
        <v>1711</v>
      </c>
      <c r="J83" s="7" t="str">
        <f>IF(I83 = SalaryDetails!E83,"1","0")</f>
        <v>1</v>
      </c>
      <c r="K83">
        <v>1485.57</v>
      </c>
      <c r="L83" t="str">
        <f>IF(ROUND(Sheet1!K83,2)=SalaryDetails!F83,"1","0")</f>
        <v>1</v>
      </c>
    </row>
    <row r="84" spans="1:12" x14ac:dyDescent="0.3">
      <c r="A84" t="s">
        <v>212</v>
      </c>
      <c r="B84" s="7" t="str">
        <f>IF(A84=SalaryDetails!A84,"1","0")</f>
        <v>1</v>
      </c>
      <c r="C84">
        <v>2200</v>
      </c>
      <c r="D84" s="7" t="str">
        <f>IF(C84 = SalaryDetails!B84, "1","0")</f>
        <v>1</v>
      </c>
      <c r="E84">
        <v>500</v>
      </c>
      <c r="F84" s="7" t="str">
        <f>IF(E84=SalaryDetails!C84,"1","0")</f>
        <v>1</v>
      </c>
      <c r="G84">
        <v>233.97000122070301</v>
      </c>
      <c r="H84" s="7" t="str">
        <f>IF(ROUND(G84,2)=SalaryDetails!D84,"1","0")</f>
        <v>1</v>
      </c>
      <c r="I84">
        <v>2700</v>
      </c>
      <c r="J84" s="7" t="str">
        <f>IF(I84 = SalaryDetails!E84,"1","0")</f>
        <v>1</v>
      </c>
      <c r="K84">
        <v>2466.03002929688</v>
      </c>
      <c r="L84" t="str">
        <f>IF(ROUND(Sheet1!K84,2)=SalaryDetails!F84,"1","0")</f>
        <v>1</v>
      </c>
    </row>
    <row r="85" spans="1:12" x14ac:dyDescent="0.3">
      <c r="A85" t="s">
        <v>214</v>
      </c>
      <c r="B85" s="7" t="str">
        <f>IF(A85=SalaryDetails!A85,"1","0")</f>
        <v>1</v>
      </c>
      <c r="C85">
        <v>3238</v>
      </c>
      <c r="D85" s="7" t="str">
        <f>IF(C85 = SalaryDetails!B85, "1","0")</f>
        <v>1</v>
      </c>
      <c r="E85">
        <v>800</v>
      </c>
      <c r="F85" s="7" t="str">
        <f>IF(E85=SalaryDetails!C85,"1","0")</f>
        <v>1</v>
      </c>
      <c r="G85">
        <v>172.55000305175801</v>
      </c>
      <c r="H85" s="7" t="str">
        <f>IF(ROUND(G85,2)=SalaryDetails!D85,"1","0")</f>
        <v>1</v>
      </c>
      <c r="I85">
        <v>4038</v>
      </c>
      <c r="J85" s="7" t="str">
        <f>IF(I85 = SalaryDetails!E85,"1","0")</f>
        <v>1</v>
      </c>
      <c r="K85">
        <v>3865.44995117188</v>
      </c>
      <c r="L85" t="str">
        <f>IF(ROUND(Sheet1!K85,2)=SalaryDetails!F85,"1","0")</f>
        <v>1</v>
      </c>
    </row>
    <row r="86" spans="1:12" x14ac:dyDescent="0.3">
      <c r="A86" t="s">
        <v>216</v>
      </c>
      <c r="B86" s="7" t="str">
        <f>IF(A86=SalaryDetails!A86,"1","0")</f>
        <v>1</v>
      </c>
      <c r="C86">
        <v>1847</v>
      </c>
      <c r="D86" s="7" t="str">
        <f>IF(C86 = SalaryDetails!B86, "1","0")</f>
        <v>1</v>
      </c>
      <c r="E86">
        <v>2000</v>
      </c>
      <c r="F86" s="7" t="str">
        <f>IF(E86=SalaryDetails!C86,"1","0")</f>
        <v>1</v>
      </c>
      <c r="G86">
        <v>263.89001464843801</v>
      </c>
      <c r="H86" s="7" t="str">
        <f>IF(ROUND(G86,2)=SalaryDetails!D86,"1","0")</f>
        <v>1</v>
      </c>
      <c r="I86">
        <v>3847</v>
      </c>
      <c r="J86" s="7" t="str">
        <f>IF(I86 = SalaryDetails!E86,"1","0")</f>
        <v>1</v>
      </c>
      <c r="K86">
        <v>3583.11010742188</v>
      </c>
      <c r="L86" t="str">
        <f>IF(ROUND(Sheet1!K86,2)=SalaryDetails!F86,"1","0")</f>
        <v>1</v>
      </c>
    </row>
    <row r="87" spans="1:12" x14ac:dyDescent="0.3">
      <c r="A87" t="s">
        <v>218</v>
      </c>
      <c r="B87" s="7" t="str">
        <f>IF(A87=SalaryDetails!A87,"1","0")</f>
        <v>1</v>
      </c>
      <c r="C87">
        <v>3179</v>
      </c>
      <c r="D87" s="7" t="str">
        <f>IF(C87 = SalaryDetails!B87, "1","0")</f>
        <v>1</v>
      </c>
      <c r="E87">
        <v>1800</v>
      </c>
      <c r="F87" s="7" t="str">
        <f>IF(E87=SalaryDetails!C87,"1","0")</f>
        <v>1</v>
      </c>
      <c r="G87">
        <v>258.92001342773398</v>
      </c>
      <c r="H87" s="7" t="str">
        <f>IF(ROUND(G87,2)=SalaryDetails!D87,"1","0")</f>
        <v>1</v>
      </c>
      <c r="I87">
        <v>4979</v>
      </c>
      <c r="J87" s="7" t="str">
        <f>IF(I87 = SalaryDetails!E87,"1","0")</f>
        <v>1</v>
      </c>
      <c r="K87">
        <v>4720.080078125</v>
      </c>
      <c r="L87" t="str">
        <f>IF(ROUND(Sheet1!K87,2)=SalaryDetails!F87,"1","0")</f>
        <v>1</v>
      </c>
    </row>
    <row r="88" spans="1:12" x14ac:dyDescent="0.3">
      <c r="A88" t="s">
        <v>220</v>
      </c>
      <c r="B88" s="7" t="str">
        <f>IF(A88=SalaryDetails!A88,"1","0")</f>
        <v>1</v>
      </c>
      <c r="C88">
        <v>1400</v>
      </c>
      <c r="D88" s="7" t="str">
        <f>IF(C88 = SalaryDetails!B88, "1","0")</f>
        <v>1</v>
      </c>
      <c r="E88">
        <v>700</v>
      </c>
      <c r="F88" s="7" t="str">
        <f>IF(E88=SalaryDetails!C88,"1","0")</f>
        <v>1</v>
      </c>
      <c r="G88">
        <v>204.61000061035199</v>
      </c>
      <c r="H88" s="7" t="str">
        <f>IF(ROUND(G88,2)=SalaryDetails!D88,"1","0")</f>
        <v>1</v>
      </c>
      <c r="I88">
        <v>2100</v>
      </c>
      <c r="J88" s="7" t="str">
        <f>IF(I88 = SalaryDetails!E88,"1","0")</f>
        <v>1</v>
      </c>
      <c r="K88">
        <v>1895.39001464844</v>
      </c>
      <c r="L88" t="str">
        <f>IF(ROUND(Sheet1!K88,2)=SalaryDetails!F88,"1","0")</f>
        <v>1</v>
      </c>
    </row>
    <row r="89" spans="1:12" x14ac:dyDescent="0.3">
      <c r="A89" t="s">
        <v>222</v>
      </c>
      <c r="B89" s="7" t="str">
        <f>IF(A89=SalaryDetails!A89,"1","0")</f>
        <v>1</v>
      </c>
      <c r="C89">
        <v>3900</v>
      </c>
      <c r="D89" s="7" t="str">
        <f>IF(C89 = SalaryDetails!B89, "1","0")</f>
        <v>1</v>
      </c>
      <c r="E89">
        <v>100</v>
      </c>
      <c r="F89" s="7" t="str">
        <f>IF(E89=SalaryDetails!C89,"1","0")</f>
        <v>1</v>
      </c>
      <c r="G89">
        <v>423.94000244140602</v>
      </c>
      <c r="H89" s="7" t="str">
        <f>IF(ROUND(G89,2)=SalaryDetails!D89,"1","0")</f>
        <v>1</v>
      </c>
      <c r="I89">
        <v>4000</v>
      </c>
      <c r="J89" s="7" t="str">
        <f>IF(I89 = SalaryDetails!E89,"1","0")</f>
        <v>1</v>
      </c>
      <c r="K89">
        <v>3576.06005859375</v>
      </c>
      <c r="L89" t="str">
        <f>IF(ROUND(Sheet1!K89,2)=SalaryDetails!F89,"1","0")</f>
        <v>1</v>
      </c>
    </row>
    <row r="90" spans="1:12" x14ac:dyDescent="0.3">
      <c r="A90" t="s">
        <v>224</v>
      </c>
      <c r="B90" s="7" t="str">
        <f>IF(A90=SalaryDetails!A90,"1","0")</f>
        <v>1</v>
      </c>
      <c r="C90" s="8">
        <v>2538</v>
      </c>
      <c r="D90" s="7" t="str">
        <f>IF(C90 = SalaryDetails!B90, "1","0")</f>
        <v>1</v>
      </c>
      <c r="E90" s="8">
        <v>1150</v>
      </c>
      <c r="F90" s="7" t="str">
        <f>IF(E90=SalaryDetails!C90,"1","0")</f>
        <v>1</v>
      </c>
      <c r="G90" s="8">
        <v>317.82</v>
      </c>
      <c r="H90" s="7" t="str">
        <f>IF(ROUND(G90,2)=SalaryDetails!D90,"1","0")</f>
        <v>1</v>
      </c>
      <c r="I90" s="8">
        <v>3688</v>
      </c>
      <c r="J90" s="7" t="str">
        <f>IF(I90 = SalaryDetails!E90,"1","0")</f>
        <v>1</v>
      </c>
      <c r="K90" s="8">
        <v>3370.18</v>
      </c>
      <c r="L90" t="str">
        <f>IF(ROUND(Sheet1!K90,2)=SalaryDetails!F90,"1","0")</f>
        <v>1</v>
      </c>
    </row>
    <row r="91" spans="1:12" x14ac:dyDescent="0.3">
      <c r="A91" t="s">
        <v>226</v>
      </c>
      <c r="B91" s="7" t="str">
        <f>IF(A91=SalaryDetails!A91,"1","0")</f>
        <v>1</v>
      </c>
      <c r="C91">
        <v>2587</v>
      </c>
      <c r="D91" s="7" t="str">
        <f>IF(C91 = SalaryDetails!B91, "1","0")</f>
        <v>1</v>
      </c>
      <c r="E91">
        <v>1250</v>
      </c>
      <c r="F91" s="7" t="str">
        <f>IF(E91=SalaryDetails!C91,"1","0")</f>
        <v>1</v>
      </c>
      <c r="G91">
        <v>313.73001098632801</v>
      </c>
      <c r="H91" s="7" t="str">
        <f>IF(ROUND(G91,2)=SalaryDetails!D91,"1","0")</f>
        <v>1</v>
      </c>
      <c r="I91">
        <v>3837</v>
      </c>
      <c r="J91" s="7" t="str">
        <f>IF(I91 = SalaryDetails!E91,"1","0")</f>
        <v>1</v>
      </c>
      <c r="K91">
        <v>3523.27001953125</v>
      </c>
      <c r="L91" t="str">
        <f>IF(ROUND(Sheet1!K91,2)=SalaryDetails!F91,"1","0")</f>
        <v>1</v>
      </c>
    </row>
    <row r="92" spans="1:12" x14ac:dyDescent="0.3">
      <c r="A92" t="s">
        <v>228</v>
      </c>
      <c r="B92" s="7" t="str">
        <f>IF(A92=SalaryDetails!A92,"1","0")</f>
        <v>1</v>
      </c>
      <c r="C92">
        <v>3062</v>
      </c>
      <c r="D92" s="7" t="str">
        <f>IF(C92 = SalaryDetails!B92, "1","0")</f>
        <v>1</v>
      </c>
      <c r="E92">
        <v>2000</v>
      </c>
      <c r="F92" s="7" t="str">
        <f>IF(E92=SalaryDetails!C92,"1","0")</f>
        <v>1</v>
      </c>
      <c r="G92">
        <v>275.05999755859398</v>
      </c>
      <c r="H92" s="7" t="str">
        <f>IF(ROUND(G92,2)=SalaryDetails!D92,"1","0")</f>
        <v>1</v>
      </c>
      <c r="I92">
        <v>5062</v>
      </c>
      <c r="J92" s="7" t="str">
        <f>IF(I92 = SalaryDetails!E92,"1","0")</f>
        <v>1</v>
      </c>
      <c r="K92">
        <v>4786.93994140625</v>
      </c>
      <c r="L92" t="str">
        <f>IF(ROUND(Sheet1!K92,2)=SalaryDetails!F92,"1","0")</f>
        <v>1</v>
      </c>
    </row>
    <row r="93" spans="1:12" x14ac:dyDescent="0.3">
      <c r="A93" t="s">
        <v>230</v>
      </c>
      <c r="B93" s="7" t="str">
        <f>IF(A93=SalaryDetails!A93,"1","0")</f>
        <v>1</v>
      </c>
      <c r="C93">
        <v>3499</v>
      </c>
      <c r="D93" s="7" t="str">
        <f>IF(C93 = SalaryDetails!B93, "1","0")</f>
        <v>1</v>
      </c>
      <c r="E93">
        <v>2000</v>
      </c>
      <c r="F93" s="7" t="str">
        <f>IF(E93=SalaryDetails!C93,"1","0")</f>
        <v>1</v>
      </c>
      <c r="G93">
        <v>201.86999511718801</v>
      </c>
      <c r="H93" s="7" t="str">
        <f>IF(ROUND(G93,2)=SalaryDetails!D93,"1","0")</f>
        <v>1</v>
      </c>
      <c r="I93">
        <v>5499</v>
      </c>
      <c r="J93" s="7" t="str">
        <f>IF(I93 = SalaryDetails!E93,"1","0")</f>
        <v>1</v>
      </c>
      <c r="K93">
        <v>5297.1298828125</v>
      </c>
      <c r="L93" t="str">
        <f>IF(ROUND(Sheet1!K93,2)=SalaryDetails!F93,"1","0")</f>
        <v>1</v>
      </c>
    </row>
    <row r="94" spans="1:12" x14ac:dyDescent="0.3">
      <c r="A94" t="s">
        <v>232</v>
      </c>
      <c r="B94" s="7" t="str">
        <f>IF(A94=SalaryDetails!A94,"1","0")</f>
        <v>1</v>
      </c>
      <c r="C94">
        <v>2446</v>
      </c>
      <c r="D94" s="7" t="str">
        <f>IF(C94 = SalaryDetails!B94, "1","0")</f>
        <v>1</v>
      </c>
      <c r="E94">
        <v>162.0400390625</v>
      </c>
      <c r="F94" s="7" t="str">
        <f>IF(E94=SalaryDetails!C94,"1","0")</f>
        <v>0</v>
      </c>
      <c r="G94">
        <v>75.919921875</v>
      </c>
      <c r="H94" s="7" t="str">
        <f>IF(ROUND(G94,2)=SalaryDetails!D94,"1","0")</f>
        <v>0</v>
      </c>
      <c r="I94">
        <v>2846</v>
      </c>
      <c r="J94" s="7" t="str">
        <f>IF(I94 = SalaryDetails!E94,"1","0")</f>
        <v>1</v>
      </c>
      <c r="K94">
        <v>2683.9599609375</v>
      </c>
      <c r="L94" t="str">
        <f>IF(ROUND(Sheet1!K94,2)=SalaryDetails!F94,"1","0")</f>
        <v>1</v>
      </c>
    </row>
    <row r="95" spans="1:12" x14ac:dyDescent="0.3">
      <c r="A95" t="s">
        <v>234</v>
      </c>
      <c r="B95" s="7" t="str">
        <f>IF(A95=SalaryDetails!A95,"1","0")</f>
        <v>1</v>
      </c>
      <c r="C95">
        <v>1832</v>
      </c>
      <c r="D95" s="7" t="str">
        <f>IF(C95 = SalaryDetails!B95, "1","0")</f>
        <v>1</v>
      </c>
      <c r="E95">
        <v>1950</v>
      </c>
      <c r="F95" s="7" t="str">
        <f>IF(E95=SalaryDetails!C95,"1","0")</f>
        <v>1</v>
      </c>
      <c r="G95">
        <v>135.64999389648401</v>
      </c>
      <c r="H95" s="7" t="str">
        <f>IF(ROUND(G95,2)=SalaryDetails!D95,"1","0")</f>
        <v>1</v>
      </c>
      <c r="I95">
        <v>3782</v>
      </c>
      <c r="J95" s="7" t="str">
        <f>IF(I95 = SalaryDetails!E95,"1","0")</f>
        <v>1</v>
      </c>
      <c r="K95">
        <v>3646.35009765625</v>
      </c>
      <c r="L95" t="str">
        <f>IF(ROUND(Sheet1!K95,2)=SalaryDetails!F95,"1","0")</f>
        <v>1</v>
      </c>
    </row>
    <row r="96" spans="1:12" x14ac:dyDescent="0.3">
      <c r="A96" t="s">
        <v>236</v>
      </c>
      <c r="B96" s="7" t="str">
        <f>IF(A96=SalaryDetails!A96,"1","0")</f>
        <v>1</v>
      </c>
      <c r="C96">
        <v>2167</v>
      </c>
      <c r="D96" s="7" t="str">
        <f>IF(C96 = SalaryDetails!B96, "1","0")</f>
        <v>1</v>
      </c>
      <c r="E96">
        <v>289.219970703125</v>
      </c>
      <c r="F96" s="7" t="str">
        <f>IF(E96=SalaryDetails!C96,"1","0")</f>
        <v>0</v>
      </c>
      <c r="G96">
        <v>521.56005859375</v>
      </c>
      <c r="H96" s="7" t="str">
        <f>IF(ROUND(G96,2)=SalaryDetails!D96,"1","0")</f>
        <v>0</v>
      </c>
      <c r="I96">
        <v>3267</v>
      </c>
      <c r="J96" s="7" t="str">
        <f>IF(I96 = SalaryDetails!E96,"1","0")</f>
        <v>1</v>
      </c>
      <c r="K96">
        <v>2977.78002929688</v>
      </c>
      <c r="L96" t="str">
        <f>IF(ROUND(Sheet1!K96,2)=SalaryDetails!F96,"1","0")</f>
        <v>1</v>
      </c>
    </row>
    <row r="97" spans="1:12" x14ac:dyDescent="0.3">
      <c r="A97" t="s">
        <v>238</v>
      </c>
      <c r="B97" s="7" t="str">
        <f>IF(A97=SalaryDetails!A97,"1","0")</f>
        <v>1</v>
      </c>
      <c r="C97" s="8">
        <v>3062</v>
      </c>
      <c r="D97" s="7" t="str">
        <f>IF(C97 = SalaryDetails!B97, "1","0")</f>
        <v>1</v>
      </c>
      <c r="E97" s="8">
        <v>1900</v>
      </c>
      <c r="F97" s="7" t="str">
        <f>IF(E97=SalaryDetails!C97,"1","0")</f>
        <v>1</v>
      </c>
      <c r="G97" s="8">
        <v>272.26</v>
      </c>
      <c r="H97" s="7" t="str">
        <f>IF(ROUND(G97,2)=SalaryDetails!D97,"1","0")</f>
        <v>1</v>
      </c>
      <c r="I97" s="8">
        <v>4962</v>
      </c>
      <c r="J97" s="7" t="str">
        <f>IF(I97 = SalaryDetails!E97,"1","0")</f>
        <v>1</v>
      </c>
      <c r="K97" s="8">
        <v>4689.74</v>
      </c>
      <c r="L97" t="str">
        <f>IF(ROUND(Sheet1!K97,2)=SalaryDetails!F97,"1","0")</f>
        <v>1</v>
      </c>
    </row>
    <row r="98" spans="1:12" x14ac:dyDescent="0.3">
      <c r="A98" t="s">
        <v>240</v>
      </c>
      <c r="B98" s="7" t="str">
        <f>IF(A98=SalaryDetails!A98,"1","0")</f>
        <v>1</v>
      </c>
      <c r="C98">
        <v>2040</v>
      </c>
      <c r="D98" s="7" t="str">
        <f>IF(C98 = SalaryDetails!B98, "1","0")</f>
        <v>1</v>
      </c>
      <c r="E98">
        <v>700</v>
      </c>
      <c r="F98" s="7" t="str">
        <f>IF(E98=SalaryDetails!C98,"1","0")</f>
        <v>1</v>
      </c>
      <c r="G98">
        <v>284.89001464843801</v>
      </c>
      <c r="H98" s="7" t="str">
        <f>IF(ROUND(G98,2)=SalaryDetails!D98,"1","0")</f>
        <v>1</v>
      </c>
      <c r="I98">
        <v>2740</v>
      </c>
      <c r="J98" s="7" t="str">
        <f>IF(I98 = SalaryDetails!E98,"1","0")</f>
        <v>1</v>
      </c>
      <c r="K98">
        <v>2455.11010742188</v>
      </c>
      <c r="L98" t="str">
        <f>IF(ROUND(Sheet1!K98,2)=SalaryDetails!F98,"1","0")</f>
        <v>1</v>
      </c>
    </row>
    <row r="99" spans="1:12" x14ac:dyDescent="0.3">
      <c r="A99" t="s">
        <v>242</v>
      </c>
      <c r="B99" s="7" t="str">
        <f>IF(A99=SalaryDetails!A99,"1","0")</f>
        <v>1</v>
      </c>
      <c r="C99">
        <v>1792</v>
      </c>
      <c r="D99" s="7" t="str">
        <f>IF(C99 = SalaryDetails!B99, "1","0")</f>
        <v>1</v>
      </c>
      <c r="E99">
        <v>350</v>
      </c>
      <c r="F99" s="7" t="str">
        <f>IF(E99=SalaryDetails!C99,"1","0")</f>
        <v>1</v>
      </c>
      <c r="G99">
        <v>149.05000305175801</v>
      </c>
      <c r="H99" s="7" t="str">
        <f>IF(ROUND(G99,2)=SalaryDetails!D99,"1","0")</f>
        <v>1</v>
      </c>
      <c r="I99">
        <v>2142</v>
      </c>
      <c r="J99" s="7" t="str">
        <f>IF(I99 = SalaryDetails!E99,"1","0")</f>
        <v>1</v>
      </c>
      <c r="K99">
        <v>1992.94995117188</v>
      </c>
      <c r="L99" t="str">
        <f>IF(ROUND(Sheet1!K99,2)=SalaryDetails!F99,"1","0")</f>
        <v>1</v>
      </c>
    </row>
    <row r="100" spans="1:12" x14ac:dyDescent="0.3">
      <c r="A100" t="s">
        <v>244</v>
      </c>
      <c r="B100" s="7" t="str">
        <f>IF(A100=SalaryDetails!A100,"1","0")</f>
        <v>1</v>
      </c>
      <c r="C100">
        <v>1264</v>
      </c>
      <c r="D100" s="7" t="str">
        <f>IF(C100 = SalaryDetails!B100, "1","0")</f>
        <v>1</v>
      </c>
      <c r="E100">
        <v>1650</v>
      </c>
      <c r="F100" s="7" t="str">
        <f>IF(E100=SalaryDetails!C100,"1","0")</f>
        <v>1</v>
      </c>
      <c r="G100">
        <v>158.71000671386699</v>
      </c>
      <c r="H100" s="7" t="str">
        <f>IF(ROUND(G100,2)=SalaryDetails!D100,"1","0")</f>
        <v>1</v>
      </c>
      <c r="I100">
        <v>2914</v>
      </c>
      <c r="J100" s="7" t="str">
        <f>IF(I100 = SalaryDetails!E100,"1","0")</f>
        <v>1</v>
      </c>
      <c r="K100">
        <v>2755.2900390625</v>
      </c>
      <c r="L100" t="str">
        <f>IF(ROUND(Sheet1!K100,2)=SalaryDetails!F100,"1","0")</f>
        <v>1</v>
      </c>
    </row>
    <row r="101" spans="1:12" x14ac:dyDescent="0.3">
      <c r="A101" t="s">
        <v>246</v>
      </c>
      <c r="B101" s="7" t="str">
        <f>IF(A101=SalaryDetails!A101,"1","0")</f>
        <v>1</v>
      </c>
      <c r="C101">
        <v>1646</v>
      </c>
      <c r="D101" s="7" t="str">
        <f>IF(C101 = SalaryDetails!B101, "1","0")</f>
        <v>1</v>
      </c>
      <c r="E101">
        <v>100</v>
      </c>
      <c r="F101" s="7" t="str">
        <f>IF(E101=SalaryDetails!C101,"1","0")</f>
        <v>1</v>
      </c>
      <c r="G101">
        <v>105.33999633789099</v>
      </c>
      <c r="H101" s="7" t="str">
        <f>IF(ROUND(G101,2)=SalaryDetails!D101,"1","0")</f>
        <v>1</v>
      </c>
      <c r="I101">
        <v>1746</v>
      </c>
      <c r="J101" s="7" t="str">
        <f>IF(I101 = SalaryDetails!E101,"1","0")</f>
        <v>1</v>
      </c>
      <c r="K101">
        <v>1640.66003417969</v>
      </c>
      <c r="L101" t="str">
        <f>IF(ROUND(Sheet1!K101,2)=SalaryDetails!F101,"1","0")</f>
        <v>1</v>
      </c>
    </row>
    <row r="102" spans="1:12" x14ac:dyDescent="0.3">
      <c r="A102" t="s">
        <v>248</v>
      </c>
      <c r="B102" s="7" t="str">
        <f>IF(A102=SalaryDetails!A102,"1","0")</f>
        <v>1</v>
      </c>
      <c r="C102">
        <v>2946</v>
      </c>
      <c r="D102" s="7" t="str">
        <f>IF(C102 = SalaryDetails!B102, "1","0")</f>
        <v>1</v>
      </c>
      <c r="E102">
        <v>1000</v>
      </c>
      <c r="F102" s="7" t="str">
        <f>IF(E102=SalaryDetails!C102,"1","0")</f>
        <v>1</v>
      </c>
      <c r="G102">
        <v>438.510009765625</v>
      </c>
      <c r="H102" s="7" t="str">
        <f>IF(ROUND(G102,2)=SalaryDetails!D102,"1","0")</f>
        <v>1</v>
      </c>
      <c r="I102">
        <v>3946</v>
      </c>
      <c r="J102" s="7" t="str">
        <f>IF(I102 = SalaryDetails!E102,"1","0")</f>
        <v>1</v>
      </c>
      <c r="K102">
        <v>3507.48999023438</v>
      </c>
      <c r="L102" t="str">
        <f>IF(ROUND(Sheet1!K102,2)=SalaryDetails!F102,"1","0")</f>
        <v>1</v>
      </c>
    </row>
    <row r="103" spans="1:12" x14ac:dyDescent="0.3">
      <c r="A103" t="s">
        <v>250</v>
      </c>
      <c r="B103" s="7" t="str">
        <f>IF(A103=SalaryDetails!A103,"1","0")</f>
        <v>1</v>
      </c>
      <c r="C103">
        <v>2531</v>
      </c>
      <c r="D103" s="7" t="str">
        <f>IF(C103 = SalaryDetails!B103, "1","0")</f>
        <v>1</v>
      </c>
      <c r="E103">
        <v>1600</v>
      </c>
      <c r="F103" s="7" t="str">
        <f>IF(E103=SalaryDetails!C103,"1","0")</f>
        <v>1</v>
      </c>
      <c r="G103">
        <v>309.83999633789102</v>
      </c>
      <c r="H103" s="7" t="str">
        <f>IF(ROUND(G103,2)=SalaryDetails!D103,"1","0")</f>
        <v>1</v>
      </c>
      <c r="I103">
        <v>4131</v>
      </c>
      <c r="J103" s="7" t="str">
        <f>IF(I103 = SalaryDetails!E103,"1","0")</f>
        <v>1</v>
      </c>
      <c r="K103">
        <v>3821.15991210938</v>
      </c>
      <c r="L103" t="str">
        <f>IF(ROUND(Sheet1!K103,2)=SalaryDetails!F103,"1","0")</f>
        <v>1</v>
      </c>
    </row>
    <row r="104" spans="1:12" x14ac:dyDescent="0.3">
      <c r="A104" t="s">
        <v>252</v>
      </c>
      <c r="B104" s="7" t="str">
        <f>IF(A104=SalaryDetails!A104,"1","0")</f>
        <v>1</v>
      </c>
      <c r="C104">
        <v>2135</v>
      </c>
      <c r="D104" s="7" t="str">
        <f>IF(C104 = SalaryDetails!B104, "1","0")</f>
        <v>1</v>
      </c>
      <c r="E104">
        <v>300</v>
      </c>
      <c r="F104" s="7" t="str">
        <f>IF(E104=SalaryDetails!C104,"1","0")</f>
        <v>1</v>
      </c>
      <c r="G104">
        <v>213.669998168945</v>
      </c>
      <c r="H104" s="7" t="str">
        <f>IF(ROUND(G104,2)=SalaryDetails!D104,"1","0")</f>
        <v>1</v>
      </c>
      <c r="I104">
        <v>2435</v>
      </c>
      <c r="J104" s="7" t="str">
        <f>IF(I104 = SalaryDetails!E104,"1","0")</f>
        <v>1</v>
      </c>
      <c r="K104">
        <v>2221.330078125</v>
      </c>
      <c r="L104" t="str">
        <f>IF(ROUND(Sheet1!K104,2)=SalaryDetails!F104,"1","0")</f>
        <v>1</v>
      </c>
    </row>
    <row r="105" spans="1:12" x14ac:dyDescent="0.3">
      <c r="A105" t="s">
        <v>254</v>
      </c>
      <c r="B105" s="7" t="str">
        <f>IF(A105=SalaryDetails!A105,"1","0")</f>
        <v>1</v>
      </c>
      <c r="C105">
        <v>1825</v>
      </c>
      <c r="D105" s="7" t="str">
        <f>IF(C105 = SalaryDetails!B105, "1","0")</f>
        <v>1</v>
      </c>
      <c r="E105">
        <v>250</v>
      </c>
      <c r="F105" s="7" t="str">
        <f>IF(E105=SalaryDetails!C105,"1","0")</f>
        <v>1</v>
      </c>
      <c r="G105">
        <v>269.05999755859398</v>
      </c>
      <c r="H105" s="7" t="str">
        <f>IF(ROUND(G105,2)=SalaryDetails!D105,"1","0")</f>
        <v>1</v>
      </c>
      <c r="I105">
        <v>2075</v>
      </c>
      <c r="J105" s="7" t="str">
        <f>IF(I105 = SalaryDetails!E105,"1","0")</f>
        <v>1</v>
      </c>
      <c r="K105">
        <v>1805.93994140625</v>
      </c>
      <c r="L105" t="str">
        <f>IF(ROUND(Sheet1!K105,2)=SalaryDetails!F105,"1","0")</f>
        <v>1</v>
      </c>
    </row>
    <row r="106" spans="1:12" x14ac:dyDescent="0.3">
      <c r="A106" t="s">
        <v>256</v>
      </c>
      <c r="B106" s="7" t="str">
        <f>IF(A106=SalaryDetails!A106,"1","0")</f>
        <v>1</v>
      </c>
      <c r="C106">
        <v>3944</v>
      </c>
      <c r="D106" s="7" t="str">
        <f>IF(C106 = SalaryDetails!B106, "1","0")</f>
        <v>1</v>
      </c>
      <c r="E106">
        <v>1350</v>
      </c>
      <c r="F106" s="7" t="str">
        <f>IF(E106=SalaryDetails!C106,"1","0")</f>
        <v>1</v>
      </c>
      <c r="G106">
        <v>218.38000488281301</v>
      </c>
      <c r="H106" s="7" t="str">
        <f>IF(ROUND(G106,2)=SalaryDetails!D106,"1","0")</f>
        <v>1</v>
      </c>
      <c r="I106">
        <v>5294</v>
      </c>
      <c r="J106" s="7" t="str">
        <f>IF(I106 = SalaryDetails!E106,"1","0")</f>
        <v>1</v>
      </c>
      <c r="K106">
        <v>5075.6201171875</v>
      </c>
      <c r="L106" t="str">
        <f>IF(ROUND(Sheet1!K106,2)=SalaryDetails!F106,"1","0")</f>
        <v>1</v>
      </c>
    </row>
    <row r="107" spans="1:12" x14ac:dyDescent="0.3">
      <c r="A107" t="s">
        <v>258</v>
      </c>
      <c r="B107" s="7" t="str">
        <f>IF(A107=SalaryDetails!A107,"1","0")</f>
        <v>1</v>
      </c>
      <c r="C107">
        <v>2071</v>
      </c>
      <c r="D107" s="7" t="str">
        <f>IF(C107 = SalaryDetails!B107, "1","0")</f>
        <v>1</v>
      </c>
      <c r="E107">
        <v>1100</v>
      </c>
      <c r="F107" s="7" t="str">
        <f>IF(E107=SalaryDetails!C107,"1","0")</f>
        <v>1</v>
      </c>
      <c r="G107">
        <v>194.07000732421901</v>
      </c>
      <c r="H107" s="7" t="str">
        <f>IF(ROUND(G107,2)=SalaryDetails!D107,"1","0")</f>
        <v>1</v>
      </c>
      <c r="I107">
        <v>3171</v>
      </c>
      <c r="J107" s="7" t="str">
        <f>IF(I107 = SalaryDetails!E107,"1","0")</f>
        <v>1</v>
      </c>
      <c r="K107">
        <v>2976.92993164063</v>
      </c>
      <c r="L107" t="str">
        <f>IF(ROUND(Sheet1!K107,2)=SalaryDetails!F107,"1","0")</f>
        <v>1</v>
      </c>
    </row>
    <row r="108" spans="1:12" x14ac:dyDescent="0.3">
      <c r="A108" t="s">
        <v>260</v>
      </c>
      <c r="B108" s="7" t="str">
        <f>IF(A108=SalaryDetails!A108,"1","0")</f>
        <v>1</v>
      </c>
      <c r="C108">
        <v>3497</v>
      </c>
      <c r="D108" s="7" t="str">
        <f>IF(C108 = SalaryDetails!B108, "1","0")</f>
        <v>1</v>
      </c>
      <c r="E108">
        <v>850</v>
      </c>
      <c r="F108" s="7" t="str">
        <f>IF(E108=SalaryDetails!C108,"1","0")</f>
        <v>1</v>
      </c>
      <c r="G108">
        <v>468.13000488281301</v>
      </c>
      <c r="H108" s="7" t="str">
        <f>IF(ROUND(G108,2)=SalaryDetails!D108,"1","0")</f>
        <v>1</v>
      </c>
      <c r="I108">
        <v>4347</v>
      </c>
      <c r="J108" s="7" t="str">
        <f>IF(I108 = SalaryDetails!E108,"1","0")</f>
        <v>1</v>
      </c>
      <c r="K108">
        <v>3878.8701171875</v>
      </c>
      <c r="L108" t="str">
        <f>IF(ROUND(Sheet1!K108,2)=SalaryDetails!F108,"1","0")</f>
        <v>1</v>
      </c>
    </row>
    <row r="109" spans="1:12" x14ac:dyDescent="0.3">
      <c r="A109" t="s">
        <v>262</v>
      </c>
      <c r="B109" s="7" t="str">
        <f>IF(A109=SalaryDetails!A109,"1","0")</f>
        <v>1</v>
      </c>
      <c r="C109">
        <v>2637</v>
      </c>
      <c r="D109" s="7" t="str">
        <f>IF(C109 = SalaryDetails!B109, "1","0")</f>
        <v>1</v>
      </c>
      <c r="E109">
        <v>1250</v>
      </c>
      <c r="F109" s="7" t="str">
        <f>IF(E109=SalaryDetails!C109,"1","0")</f>
        <v>1</v>
      </c>
      <c r="G109">
        <v>221.66000366210901</v>
      </c>
      <c r="H109" s="7" t="str">
        <f>IF(ROUND(G109,2)=SalaryDetails!D109,"1","0")</f>
        <v>1</v>
      </c>
      <c r="I109">
        <v>3887</v>
      </c>
      <c r="J109" s="7" t="str">
        <f>IF(I109 = SalaryDetails!E109,"1","0")</f>
        <v>1</v>
      </c>
      <c r="K109">
        <v>3665.34008789063</v>
      </c>
      <c r="L109" t="str">
        <f>IF(ROUND(Sheet1!K109,2)=SalaryDetails!F109,"1","0")</f>
        <v>1</v>
      </c>
    </row>
    <row r="110" spans="1:12" x14ac:dyDescent="0.3">
      <c r="A110" t="s">
        <v>264</v>
      </c>
      <c r="B110" s="7" t="str">
        <f>IF(A110=SalaryDetails!A110,"1","0")</f>
        <v>1</v>
      </c>
      <c r="C110">
        <v>2919</v>
      </c>
      <c r="D110" s="7" t="str">
        <f>IF(C110 = SalaryDetails!B110, "1","0")</f>
        <v>1</v>
      </c>
      <c r="E110">
        <v>1000</v>
      </c>
      <c r="F110" s="7" t="str">
        <f>IF(E110=SalaryDetails!C110,"1","0")</f>
        <v>1</v>
      </c>
      <c r="G110">
        <v>370.42001342773398</v>
      </c>
      <c r="H110" s="7" t="str">
        <f>IF(ROUND(G110,2)=SalaryDetails!D110,"1","0")</f>
        <v>1</v>
      </c>
      <c r="I110">
        <v>3919</v>
      </c>
      <c r="J110" s="7" t="str">
        <f>IF(I110 = SalaryDetails!E110,"1","0")</f>
        <v>1</v>
      </c>
      <c r="K110">
        <v>3548.580078125</v>
      </c>
      <c r="L110" t="str">
        <f>IF(ROUND(Sheet1!K110,2)=SalaryDetails!F110,"1","0")</f>
        <v>1</v>
      </c>
    </row>
    <row r="111" spans="1:12" x14ac:dyDescent="0.3">
      <c r="A111" t="s">
        <v>266</v>
      </c>
      <c r="B111" s="7" t="str">
        <f>IF(A111=SalaryDetails!A111,"1","0")</f>
        <v>1</v>
      </c>
      <c r="C111">
        <v>2314</v>
      </c>
      <c r="D111" s="7" t="str">
        <f>IF(C111 = SalaryDetails!B111, "1","0")</f>
        <v>1</v>
      </c>
      <c r="E111">
        <v>1400</v>
      </c>
      <c r="F111" s="7" t="str">
        <f>IF(E111=SalaryDetails!C111,"1","0")</f>
        <v>1</v>
      </c>
      <c r="G111">
        <v>336.64999389648398</v>
      </c>
      <c r="H111" s="7" t="str">
        <f>IF(ROUND(G111,2)=SalaryDetails!D111,"1","0")</f>
        <v>1</v>
      </c>
      <c r="I111">
        <v>3714</v>
      </c>
      <c r="J111" s="7" t="str">
        <f>IF(I111 = SalaryDetails!E111,"1","0")</f>
        <v>1</v>
      </c>
      <c r="K111">
        <v>3377.35009765625</v>
      </c>
      <c r="L111" t="str">
        <f>IF(ROUND(Sheet1!K111,2)=SalaryDetails!F111,"1","0")</f>
        <v>1</v>
      </c>
    </row>
    <row r="112" spans="1:12" x14ac:dyDescent="0.3">
      <c r="A112" t="s">
        <v>268</v>
      </c>
      <c r="B112" s="7" t="str">
        <f>IF(A112=SalaryDetails!A112,"1","0")</f>
        <v>1</v>
      </c>
      <c r="C112">
        <v>1654</v>
      </c>
      <c r="D112" s="7" t="str">
        <f>IF(C112 = SalaryDetails!B112, "1","0")</f>
        <v>1</v>
      </c>
      <c r="E112">
        <v>950</v>
      </c>
      <c r="F112" s="7" t="str">
        <f>IF(E112=SalaryDetails!C112,"1","0")</f>
        <v>1</v>
      </c>
      <c r="G112">
        <v>148.30999755859401</v>
      </c>
      <c r="H112" s="7" t="str">
        <f>IF(ROUND(G112,2)=SalaryDetails!D112,"1","0")</f>
        <v>1</v>
      </c>
      <c r="I112">
        <v>2604</v>
      </c>
      <c r="J112" s="7" t="str">
        <f>IF(I112 = SalaryDetails!E112,"1","0")</f>
        <v>1</v>
      </c>
      <c r="K112">
        <v>2455.68994140625</v>
      </c>
      <c r="L112" t="str">
        <f>IF(ROUND(Sheet1!K112,2)=SalaryDetails!F112,"1","0")</f>
        <v>1</v>
      </c>
    </row>
    <row r="113" spans="1:12" x14ac:dyDescent="0.3">
      <c r="A113" t="s">
        <v>270</v>
      </c>
      <c r="B113" s="7" t="str">
        <f>IF(A113=SalaryDetails!A113,"1","0")</f>
        <v>1</v>
      </c>
      <c r="C113">
        <v>2065</v>
      </c>
      <c r="D113" s="7" t="str">
        <f>IF(C113 = SalaryDetails!B113, "1","0")</f>
        <v>1</v>
      </c>
      <c r="E113">
        <v>0</v>
      </c>
      <c r="F113" s="7" t="str">
        <f>IF(E113=SalaryDetails!C113,"1","0")</f>
        <v>1</v>
      </c>
      <c r="G113">
        <v>262.989990234375</v>
      </c>
      <c r="H113" s="7" t="str">
        <f>IF(ROUND(G113,2)=SalaryDetails!D113,"1","0")</f>
        <v>1</v>
      </c>
      <c r="I113">
        <v>2065</v>
      </c>
      <c r="J113" s="7" t="str">
        <f>IF(I113 = SalaryDetails!E113,"1","0")</f>
        <v>1</v>
      </c>
      <c r="K113">
        <v>1802.01000976563</v>
      </c>
      <c r="L113" t="str">
        <f>IF(ROUND(Sheet1!K113,2)=SalaryDetails!F113,"1","0")</f>
        <v>1</v>
      </c>
    </row>
    <row r="114" spans="1:12" x14ac:dyDescent="0.3">
      <c r="A114" t="s">
        <v>272</v>
      </c>
      <c r="B114" s="7" t="str">
        <f>IF(A114=SalaryDetails!A114,"1","0")</f>
        <v>1</v>
      </c>
      <c r="C114">
        <v>2142</v>
      </c>
      <c r="D114" s="7" t="str">
        <f>IF(C114 = SalaryDetails!B114, "1","0")</f>
        <v>1</v>
      </c>
      <c r="E114">
        <v>100</v>
      </c>
      <c r="F114" s="7" t="str">
        <f>IF(E114=SalaryDetails!C114,"1","0")</f>
        <v>1</v>
      </c>
      <c r="G114">
        <v>113.449996948242</v>
      </c>
      <c r="H114" s="7" t="str">
        <f>IF(ROUND(G114,2)=SalaryDetails!D114,"1","0")</f>
        <v>1</v>
      </c>
      <c r="I114">
        <v>2242</v>
      </c>
      <c r="J114" s="7" t="str">
        <f>IF(I114 = SalaryDetails!E114,"1","0")</f>
        <v>1</v>
      </c>
      <c r="K114">
        <v>2128.5500030517601</v>
      </c>
      <c r="L114" t="str">
        <f>IF(ROUND(Sheet1!K114,2)=SalaryDetails!F114,"1","0")</f>
        <v>1</v>
      </c>
    </row>
    <row r="115" spans="1:12" x14ac:dyDescent="0.3">
      <c r="A115" t="s">
        <v>274</v>
      </c>
      <c r="B115" s="7" t="str">
        <f>IF(A115=SalaryDetails!A115,"1","0")</f>
        <v>1</v>
      </c>
      <c r="C115">
        <v>3548</v>
      </c>
      <c r="D115" s="7" t="str">
        <f>IF(C115 = SalaryDetails!B115, "1","0")</f>
        <v>1</v>
      </c>
      <c r="E115">
        <v>1250</v>
      </c>
      <c r="F115" s="7" t="str">
        <f>IF(E115=SalaryDetails!C115,"1","0")</f>
        <v>1</v>
      </c>
      <c r="G115">
        <v>274.38000488281301</v>
      </c>
      <c r="H115" s="7" t="str">
        <f>IF(ROUND(G115,2)=SalaryDetails!D115,"1","0")</f>
        <v>1</v>
      </c>
      <c r="I115">
        <v>4798</v>
      </c>
      <c r="J115" s="7" t="str">
        <f>IF(I115 = SalaryDetails!E115,"1","0")</f>
        <v>1</v>
      </c>
      <c r="K115">
        <v>4523.6201171875</v>
      </c>
      <c r="L115" t="str">
        <f>IF(ROUND(Sheet1!K115,2)=SalaryDetails!F115,"1","0")</f>
        <v>1</v>
      </c>
    </row>
    <row r="116" spans="1:12" x14ac:dyDescent="0.3">
      <c r="A116" t="s">
        <v>276</v>
      </c>
      <c r="B116" s="7" t="str">
        <f>IF(A116=SalaryDetails!A116,"1","0")</f>
        <v>1</v>
      </c>
      <c r="C116">
        <v>2682</v>
      </c>
      <c r="D116" s="7" t="str">
        <f>IF(C116 = SalaryDetails!B116, "1","0")</f>
        <v>1</v>
      </c>
      <c r="E116">
        <v>1850</v>
      </c>
      <c r="F116" s="7" t="str">
        <f>IF(E116=SalaryDetails!C116,"1","0")</f>
        <v>1</v>
      </c>
      <c r="G116">
        <v>400.30999755859398</v>
      </c>
      <c r="H116" s="7" t="str">
        <f>IF(ROUND(G116,2)=SalaryDetails!D116,"1","0")</f>
        <v>1</v>
      </c>
      <c r="I116">
        <v>4532</v>
      </c>
      <c r="J116" s="7" t="str">
        <f>IF(I116 = SalaryDetails!E116,"1","0")</f>
        <v>1</v>
      </c>
      <c r="K116">
        <v>4131.68994140625</v>
      </c>
      <c r="L116" t="str">
        <f>IF(ROUND(Sheet1!K116,2)=SalaryDetails!F116,"1","0")</f>
        <v>1</v>
      </c>
    </row>
    <row r="117" spans="1:12" x14ac:dyDescent="0.3">
      <c r="A117" t="s">
        <v>278</v>
      </c>
      <c r="B117" s="7" t="str">
        <f>IF(A117=SalaryDetails!A117,"1","0")</f>
        <v>1</v>
      </c>
      <c r="C117">
        <v>2107</v>
      </c>
      <c r="D117" s="7" t="str">
        <f>IF(C117 = SalaryDetails!B117, "1","0")</f>
        <v>1</v>
      </c>
      <c r="E117">
        <v>350</v>
      </c>
      <c r="F117" s="7" t="str">
        <f>IF(E117=SalaryDetails!C117,"1","0")</f>
        <v>1</v>
      </c>
      <c r="G117">
        <v>208.72000122070301</v>
      </c>
      <c r="H117" s="7" t="str">
        <f>IF(ROUND(G117,2)=SalaryDetails!D117,"1","0")</f>
        <v>1</v>
      </c>
      <c r="I117">
        <v>2457</v>
      </c>
      <c r="J117" s="7" t="str">
        <f>IF(I117 = SalaryDetails!E117,"1","0")</f>
        <v>1</v>
      </c>
      <c r="K117">
        <v>2248.28002929688</v>
      </c>
      <c r="L117" t="str">
        <f>IF(ROUND(Sheet1!K117,2)=SalaryDetails!F117,"1","0")</f>
        <v>1</v>
      </c>
    </row>
    <row r="118" spans="1:12" x14ac:dyDescent="0.3">
      <c r="A118" t="s">
        <v>280</v>
      </c>
      <c r="B118" s="7" t="str">
        <f>IF(A118=SalaryDetails!A118,"1","0")</f>
        <v>1</v>
      </c>
      <c r="C118">
        <v>1799</v>
      </c>
      <c r="D118" s="7" t="str">
        <f>IF(C118 = SalaryDetails!B118, "1","0")</f>
        <v>1</v>
      </c>
      <c r="E118">
        <v>200</v>
      </c>
      <c r="F118" s="7" t="str">
        <f>IF(E118=SalaryDetails!C118,"1","0")</f>
        <v>1</v>
      </c>
      <c r="G118">
        <v>153.96000671386699</v>
      </c>
      <c r="H118" s="7" t="str">
        <f>IF(ROUND(G118,2)=SalaryDetails!D118,"1","0")</f>
        <v>1</v>
      </c>
      <c r="I118">
        <v>1999</v>
      </c>
      <c r="J118" s="7" t="str">
        <f>IF(I118 = SalaryDetails!E118,"1","0")</f>
        <v>1</v>
      </c>
      <c r="K118">
        <v>1845.0400390625</v>
      </c>
      <c r="L118" t="str">
        <f>IF(ROUND(Sheet1!K118,2)=SalaryDetails!F118,"1","0")</f>
        <v>1</v>
      </c>
    </row>
    <row r="119" spans="1:12" x14ac:dyDescent="0.3">
      <c r="A119" t="s">
        <v>282</v>
      </c>
      <c r="B119" s="7" t="str">
        <f>IF(A119=SalaryDetails!A119,"1","0")</f>
        <v>1</v>
      </c>
      <c r="C119">
        <v>3512</v>
      </c>
      <c r="D119" s="7" t="str">
        <f>IF(C119 = SalaryDetails!B119, "1","0")</f>
        <v>1</v>
      </c>
      <c r="E119">
        <v>200</v>
      </c>
      <c r="F119" s="7" t="str">
        <f>IF(E119=SalaryDetails!C119,"1","0")</f>
        <v>1</v>
      </c>
      <c r="G119">
        <v>506.13000488281301</v>
      </c>
      <c r="H119" s="7" t="str">
        <f>IF(ROUND(G119,2)=SalaryDetails!D119,"1","0")</f>
        <v>1</v>
      </c>
      <c r="I119">
        <v>3712</v>
      </c>
      <c r="J119" s="7" t="str">
        <f>IF(I119 = SalaryDetails!E119,"1","0")</f>
        <v>1</v>
      </c>
      <c r="K119">
        <v>3205.8701171875</v>
      </c>
      <c r="L119" t="str">
        <f>IF(ROUND(Sheet1!K119,2)=SalaryDetails!F119,"1","0")</f>
        <v>1</v>
      </c>
    </row>
    <row r="120" spans="1:12" x14ac:dyDescent="0.3">
      <c r="A120" t="s">
        <v>284</v>
      </c>
      <c r="B120" s="7" t="str">
        <f>IF(A120=SalaryDetails!A120,"1","0")</f>
        <v>1</v>
      </c>
      <c r="C120">
        <v>1503</v>
      </c>
      <c r="D120" s="7" t="str">
        <f>IF(C120 = SalaryDetails!B120, "1","0")</f>
        <v>1</v>
      </c>
      <c r="E120">
        <v>1150</v>
      </c>
      <c r="F120" s="7" t="str">
        <f>IF(E120=SalaryDetails!C120,"1","0")</f>
        <v>1</v>
      </c>
      <c r="G120">
        <v>140.05999755859401</v>
      </c>
      <c r="H120" s="7" t="str">
        <f>IF(ROUND(G120,2)=SalaryDetails!D120,"1","0")</f>
        <v>1</v>
      </c>
      <c r="I120">
        <v>2653</v>
      </c>
      <c r="J120" s="7" t="str">
        <f>IF(I120 = SalaryDetails!E120,"1","0")</f>
        <v>1</v>
      </c>
      <c r="K120">
        <v>2512.93994140625</v>
      </c>
      <c r="L120" t="str">
        <f>IF(ROUND(Sheet1!K120,2)=SalaryDetails!F120,"1","0")</f>
        <v>1</v>
      </c>
    </row>
    <row r="121" spans="1:12" x14ac:dyDescent="0.3">
      <c r="A121" t="s">
        <v>286</v>
      </c>
      <c r="B121" s="7" t="str">
        <f>IF(A121=SalaryDetails!A121,"1","0")</f>
        <v>1</v>
      </c>
      <c r="C121">
        <v>1368</v>
      </c>
      <c r="D121" s="7" t="str">
        <f>IF(C121 = SalaryDetails!B121, "1","0")</f>
        <v>1</v>
      </c>
      <c r="E121">
        <v>1500</v>
      </c>
      <c r="F121" s="7" t="str">
        <f>IF(E121=SalaryDetails!C121,"1","0")</f>
        <v>1</v>
      </c>
      <c r="G121">
        <v>161.38000488281301</v>
      </c>
      <c r="H121" s="7" t="str">
        <f>IF(ROUND(G121,2)=SalaryDetails!D121,"1","0")</f>
        <v>1</v>
      </c>
      <c r="I121">
        <v>2868</v>
      </c>
      <c r="J121" s="7" t="str">
        <f>IF(I121 = SalaryDetails!E121,"1","0")</f>
        <v>1</v>
      </c>
      <c r="K121">
        <v>2706.6201171875</v>
      </c>
      <c r="L121" t="str">
        <f>IF(ROUND(Sheet1!K121,2)=SalaryDetails!F121,"1","0")</f>
        <v>1</v>
      </c>
    </row>
    <row r="122" spans="1:12" x14ac:dyDescent="0.3">
      <c r="A122" t="s">
        <v>288</v>
      </c>
      <c r="B122" s="7" t="str">
        <f>IF(A122=SalaryDetails!A122,"1","0")</f>
        <v>1</v>
      </c>
      <c r="C122">
        <v>1545</v>
      </c>
      <c r="D122" s="7" t="str">
        <f>IF(C122 = SalaryDetails!B122, "1","0")</f>
        <v>1</v>
      </c>
      <c r="E122">
        <v>1400</v>
      </c>
      <c r="F122" s="7" t="str">
        <f>IF(E122=SalaryDetails!C122,"1","0")</f>
        <v>1</v>
      </c>
      <c r="G122">
        <v>179.32000732421901</v>
      </c>
      <c r="H122" s="7" t="str">
        <f>IF(ROUND(G122,2)=SalaryDetails!D122,"1","0")</f>
        <v>1</v>
      </c>
      <c r="I122">
        <v>2945</v>
      </c>
      <c r="J122" s="7" t="str">
        <f>IF(I122 = SalaryDetails!E122,"1","0")</f>
        <v>1</v>
      </c>
      <c r="K122">
        <v>2765.67993164063</v>
      </c>
      <c r="L122" t="str">
        <f>IF(ROUND(Sheet1!K122,2)=SalaryDetails!F122,"1","0")</f>
        <v>1</v>
      </c>
    </row>
    <row r="123" spans="1:12" x14ac:dyDescent="0.3">
      <c r="A123" t="s">
        <v>290</v>
      </c>
      <c r="B123" s="7" t="str">
        <f>IF(A123=SalaryDetails!A123,"1","0")</f>
        <v>1</v>
      </c>
      <c r="C123">
        <v>2358</v>
      </c>
      <c r="D123" s="7" t="str">
        <f>IF(C123 = SalaryDetails!B123, "1","0")</f>
        <v>1</v>
      </c>
      <c r="E123">
        <v>150</v>
      </c>
      <c r="F123" s="7" t="str">
        <f>IF(E123=SalaryDetails!C123,"1","0")</f>
        <v>1</v>
      </c>
      <c r="G123">
        <v>138.11000061035199</v>
      </c>
      <c r="H123" s="7" t="str">
        <f>IF(ROUND(G123,2)=SalaryDetails!D123,"1","0")</f>
        <v>1</v>
      </c>
      <c r="I123">
        <v>2508</v>
      </c>
      <c r="J123" s="7" t="str">
        <f>IF(I123 = SalaryDetails!E123,"1","0")</f>
        <v>1</v>
      </c>
      <c r="K123">
        <v>2369.88989257813</v>
      </c>
      <c r="L123" t="str">
        <f>IF(ROUND(Sheet1!K123,2)=SalaryDetails!F123,"1","0")</f>
        <v>1</v>
      </c>
    </row>
    <row r="124" spans="1:12" x14ac:dyDescent="0.3">
      <c r="A124" t="s">
        <v>292</v>
      </c>
      <c r="B124" s="7" t="str">
        <f>IF(A124=SalaryDetails!A124,"1","0")</f>
        <v>1</v>
      </c>
      <c r="C124">
        <v>2363</v>
      </c>
      <c r="D124" s="7" t="str">
        <f>IF(C124 = SalaryDetails!B124, "1","0")</f>
        <v>1</v>
      </c>
      <c r="E124">
        <v>1050</v>
      </c>
      <c r="F124" s="7" t="str">
        <f>IF(E124=SalaryDetails!C124,"1","0")</f>
        <v>1</v>
      </c>
      <c r="G124">
        <v>264.32998657226602</v>
      </c>
      <c r="H124" s="7" t="str">
        <f>IF(ROUND(G124,2)=SalaryDetails!D124,"1","0")</f>
        <v>1</v>
      </c>
      <c r="I124">
        <v>3413</v>
      </c>
      <c r="J124" s="7" t="str">
        <f>IF(I124 = SalaryDetails!E124,"1","0")</f>
        <v>1</v>
      </c>
      <c r="K124">
        <v>3148.669921875</v>
      </c>
      <c r="L124" t="str">
        <f>IF(ROUND(Sheet1!K124,2)=SalaryDetails!F124,"1","0")</f>
        <v>1</v>
      </c>
    </row>
    <row r="125" spans="1:12" x14ac:dyDescent="0.3">
      <c r="A125" t="s">
        <v>294</v>
      </c>
      <c r="B125" s="7" t="str">
        <f>IF(A125=SalaryDetails!A125,"1","0")</f>
        <v>1</v>
      </c>
      <c r="C125">
        <v>1547</v>
      </c>
      <c r="D125" s="7" t="str">
        <f>IF(C125 = SalaryDetails!B125, "1","0")</f>
        <v>1</v>
      </c>
      <c r="E125">
        <v>400</v>
      </c>
      <c r="F125" s="7" t="str">
        <f>IF(E125=SalaryDetails!C125,"1","0")</f>
        <v>1</v>
      </c>
      <c r="G125">
        <v>200.80999755859401</v>
      </c>
      <c r="H125" s="7" t="str">
        <f>IF(ROUND(G125,2)=SalaryDetails!D125,"1","0")</f>
        <v>1</v>
      </c>
      <c r="I125">
        <v>1947</v>
      </c>
      <c r="J125" s="7" t="str">
        <f>IF(I125 = SalaryDetails!E125,"1","0")</f>
        <v>1</v>
      </c>
      <c r="K125">
        <v>1746.18994140625</v>
      </c>
      <c r="L125" t="str">
        <f>IF(ROUND(Sheet1!K125,2)=SalaryDetails!F125,"1","0")</f>
        <v>1</v>
      </c>
    </row>
    <row r="126" spans="1:12" x14ac:dyDescent="0.3">
      <c r="A126" t="s">
        <v>296</v>
      </c>
      <c r="B126" s="7" t="str">
        <f>IF(A126=SalaryDetails!A126,"1","0")</f>
        <v>1</v>
      </c>
      <c r="C126">
        <v>1938</v>
      </c>
      <c r="D126" s="7" t="str">
        <f>IF(C126 = SalaryDetails!B126, "1","0")</f>
        <v>1</v>
      </c>
      <c r="E126">
        <v>400</v>
      </c>
      <c r="F126" s="7" t="str">
        <f>IF(E126=SalaryDetails!C126,"1","0")</f>
        <v>1</v>
      </c>
      <c r="G126">
        <v>235.10000610351599</v>
      </c>
      <c r="H126" s="7" t="str">
        <f>IF(ROUND(G126,2)=SalaryDetails!D126,"1","0")</f>
        <v>1</v>
      </c>
      <c r="I126">
        <v>2338</v>
      </c>
      <c r="J126" s="7" t="str">
        <f>IF(I126 = SalaryDetails!E126,"1","0")</f>
        <v>1</v>
      </c>
      <c r="K126">
        <v>2102.89990234375</v>
      </c>
      <c r="L126" t="str">
        <f>IF(ROUND(Sheet1!K126,2)=SalaryDetails!F126,"1","0")</f>
        <v>1</v>
      </c>
    </row>
    <row r="127" spans="1:12" x14ac:dyDescent="0.3">
      <c r="A127" t="s">
        <v>298</v>
      </c>
      <c r="B127" s="7" t="str">
        <f>IF(A127=SalaryDetails!A127,"1","0")</f>
        <v>1</v>
      </c>
      <c r="C127">
        <v>3356</v>
      </c>
      <c r="D127" s="7" t="str">
        <f>IF(C127 = SalaryDetails!B127, "1","0")</f>
        <v>1</v>
      </c>
      <c r="E127">
        <v>400</v>
      </c>
      <c r="F127" s="7" t="str">
        <f>IF(E127=SalaryDetails!C127,"1","0")</f>
        <v>1</v>
      </c>
      <c r="G127">
        <v>195.330001831055</v>
      </c>
      <c r="H127" s="7" t="str">
        <f>IF(ROUND(G127,2)=SalaryDetails!D127,"1","0")</f>
        <v>1</v>
      </c>
      <c r="I127">
        <v>3756</v>
      </c>
      <c r="J127" s="7" t="str">
        <f>IF(I127 = SalaryDetails!E127,"1","0")</f>
        <v>1</v>
      </c>
      <c r="K127">
        <v>3560.669921875</v>
      </c>
      <c r="L127" t="str">
        <f>IF(ROUND(Sheet1!K127,2)=SalaryDetails!F127,"1","0")</f>
        <v>1</v>
      </c>
    </row>
    <row r="128" spans="1:12" x14ac:dyDescent="0.3">
      <c r="A128" t="s">
        <v>300</v>
      </c>
      <c r="B128" s="7" t="str">
        <f>IF(A128=SalaryDetails!A128,"1","0")</f>
        <v>1</v>
      </c>
      <c r="C128">
        <v>1378</v>
      </c>
      <c r="D128" s="7" t="str">
        <f>IF(C128 = SalaryDetails!B128, "1","0")</f>
        <v>1</v>
      </c>
      <c r="E128">
        <v>900</v>
      </c>
      <c r="F128" s="7" t="str">
        <f>IF(E128=SalaryDetails!C128,"1","0")</f>
        <v>1</v>
      </c>
      <c r="G128">
        <v>90.150001525878906</v>
      </c>
      <c r="H128" s="7" t="str">
        <f>IF(ROUND(G128,2)=SalaryDetails!D128,"1","0")</f>
        <v>1</v>
      </c>
      <c r="I128">
        <v>2278</v>
      </c>
      <c r="J128" s="7" t="str">
        <f>IF(I128 = SalaryDetails!E128,"1","0")</f>
        <v>1</v>
      </c>
      <c r="K128">
        <v>2187.85009765625</v>
      </c>
      <c r="L128" t="str">
        <f>IF(ROUND(Sheet1!K128,2)=SalaryDetails!F128,"1","0")</f>
        <v>1</v>
      </c>
    </row>
    <row r="129" spans="1:12" x14ac:dyDescent="0.3">
      <c r="A129" t="s">
        <v>302</v>
      </c>
      <c r="B129" s="7" t="str">
        <f>IF(A129=SalaryDetails!A129,"1","0")</f>
        <v>1</v>
      </c>
      <c r="C129">
        <v>3121</v>
      </c>
      <c r="D129" s="7" t="str">
        <f>IF(C129 = SalaryDetails!B129, "1","0")</f>
        <v>1</v>
      </c>
      <c r="E129">
        <v>900</v>
      </c>
      <c r="F129" s="7" t="str">
        <f>IF(E129=SalaryDetails!C129,"1","0")</f>
        <v>1</v>
      </c>
      <c r="G129">
        <v>378.16000366210898</v>
      </c>
      <c r="H129" s="7" t="str">
        <f>IF(ROUND(G129,2)=SalaryDetails!D129,"1","0")</f>
        <v>1</v>
      </c>
      <c r="I129">
        <v>4021</v>
      </c>
      <c r="J129" s="7" t="str">
        <f>IF(I129 = SalaryDetails!E129,"1","0")</f>
        <v>1</v>
      </c>
      <c r="K129">
        <v>3642.84008789063</v>
      </c>
      <c r="L129" t="str">
        <f>IF(ROUND(Sheet1!K129,2)=SalaryDetails!F129,"1","0")</f>
        <v>1</v>
      </c>
    </row>
    <row r="130" spans="1:12" x14ac:dyDescent="0.3">
      <c r="A130" t="s">
        <v>304</v>
      </c>
      <c r="B130" s="7" t="str">
        <f>IF(A130=SalaryDetails!A130,"1","0")</f>
        <v>1</v>
      </c>
      <c r="C130">
        <v>3676</v>
      </c>
      <c r="D130" s="7" t="str">
        <f>IF(C130 = SalaryDetails!B130, "1","0")</f>
        <v>1</v>
      </c>
      <c r="E130">
        <v>416.81982421875</v>
      </c>
      <c r="F130" s="7" t="str">
        <f>IF(E130=SalaryDetails!C130,"1","0")</f>
        <v>0</v>
      </c>
      <c r="G130">
        <v>316.3603515625</v>
      </c>
      <c r="H130" s="7" t="str">
        <f>IF(ROUND(G130,2)=SalaryDetails!D130,"1","0")</f>
        <v>0</v>
      </c>
      <c r="I130">
        <v>4826</v>
      </c>
      <c r="J130" s="7" t="str">
        <f>IF(I130 = SalaryDetails!E130,"1","0")</f>
        <v>1</v>
      </c>
      <c r="K130">
        <v>4409.18017578125</v>
      </c>
      <c r="L130" t="str">
        <f>IF(ROUND(Sheet1!K130,2)=SalaryDetails!F130,"1","0")</f>
        <v>1</v>
      </c>
    </row>
    <row r="131" spans="1:12" x14ac:dyDescent="0.3">
      <c r="A131" t="s">
        <v>306</v>
      </c>
      <c r="B131" s="7" t="str">
        <f>IF(A131=SalaryDetails!A131,"1","0")</f>
        <v>1</v>
      </c>
      <c r="C131">
        <v>2317</v>
      </c>
      <c r="D131" s="7" t="str">
        <f>IF(C131 = SalaryDetails!B131, "1","0")</f>
        <v>1</v>
      </c>
      <c r="E131">
        <v>250</v>
      </c>
      <c r="F131" s="7" t="str">
        <f>IF(E131=SalaryDetails!C131,"1","0")</f>
        <v>1</v>
      </c>
      <c r="G131">
        <v>287.23001098632801</v>
      </c>
      <c r="H131" s="7" t="str">
        <f>IF(ROUND(G131,2)=SalaryDetails!D131,"1","0")</f>
        <v>1</v>
      </c>
      <c r="I131">
        <v>2567</v>
      </c>
      <c r="J131" s="7" t="str">
        <f>IF(I131 = SalaryDetails!E131,"1","0")</f>
        <v>1</v>
      </c>
      <c r="K131">
        <v>2279.77001953125</v>
      </c>
      <c r="L131" t="str">
        <f>IF(ROUND(Sheet1!K131,2)=SalaryDetails!F131,"1","0")</f>
        <v>1</v>
      </c>
    </row>
    <row r="132" spans="1:12" x14ac:dyDescent="0.3">
      <c r="A132" t="s">
        <v>308</v>
      </c>
      <c r="B132" s="7" t="str">
        <f>IF(A132=SalaryDetails!A132,"1","0")</f>
        <v>1</v>
      </c>
      <c r="C132">
        <v>2731</v>
      </c>
      <c r="D132" s="7" t="str">
        <f>IF(C132 = SalaryDetails!B132, "1","0")</f>
        <v>1</v>
      </c>
      <c r="E132">
        <v>50</v>
      </c>
      <c r="F132" s="7" t="str">
        <f>IF(E132=SalaryDetails!C132,"1","0")</f>
        <v>1</v>
      </c>
      <c r="G132">
        <v>223.02999877929699</v>
      </c>
      <c r="H132" s="7" t="str">
        <f>IF(ROUND(G132,2)=SalaryDetails!D132,"1","0")</f>
        <v>1</v>
      </c>
      <c r="I132">
        <v>2781</v>
      </c>
      <c r="J132" s="7" t="str">
        <f>IF(I132 = SalaryDetails!E132,"1","0")</f>
        <v>1</v>
      </c>
      <c r="K132">
        <v>2557.96997070313</v>
      </c>
      <c r="L132" t="str">
        <f>IF(ROUND(Sheet1!K132,2)=SalaryDetails!F132,"1","0")</f>
        <v>1</v>
      </c>
    </row>
    <row r="133" spans="1:12" x14ac:dyDescent="0.3">
      <c r="A133" t="s">
        <v>310</v>
      </c>
      <c r="B133" s="7" t="str">
        <f>IF(A133=SalaryDetails!A133,"1","0")</f>
        <v>1</v>
      </c>
      <c r="C133" s="8">
        <v>3135</v>
      </c>
      <c r="D133" s="7" t="str">
        <f>IF(C133 = SalaryDetails!B133, "1","0")</f>
        <v>1</v>
      </c>
      <c r="E133" s="8">
        <v>0</v>
      </c>
      <c r="F133" s="7" t="str">
        <f>IF(E133=SalaryDetails!C133,"1","0")</f>
        <v>1</v>
      </c>
      <c r="G133" s="8">
        <v>190.15</v>
      </c>
      <c r="H133" s="7" t="str">
        <f>IF(ROUND(G133,2)=SalaryDetails!D133,"1","0")</f>
        <v>1</v>
      </c>
      <c r="I133" s="8">
        <v>3135</v>
      </c>
      <c r="J133" s="7" t="str">
        <f>IF(I133 = SalaryDetails!E133,"1","0")</f>
        <v>1</v>
      </c>
      <c r="K133" s="8">
        <v>2944.85</v>
      </c>
      <c r="L133" t="str">
        <f>IF(ROUND(Sheet1!K133,2)=SalaryDetails!F133,"1","0")</f>
        <v>1</v>
      </c>
    </row>
    <row r="134" spans="1:12" x14ac:dyDescent="0.3">
      <c r="A134" t="s">
        <v>312</v>
      </c>
      <c r="B134" s="7" t="str">
        <f>IF(A134=SalaryDetails!A134,"1","0")</f>
        <v>1</v>
      </c>
      <c r="C134">
        <v>3693</v>
      </c>
      <c r="D134" s="7" t="str">
        <f>IF(C134 = SalaryDetails!B134, "1","0")</f>
        <v>1</v>
      </c>
      <c r="E134">
        <v>750</v>
      </c>
      <c r="F134" s="7" t="str">
        <f>IF(E134=SalaryDetails!C134,"1","0")</f>
        <v>1</v>
      </c>
      <c r="G134">
        <v>186.57000732421901</v>
      </c>
      <c r="H134" s="7" t="str">
        <f>IF(ROUND(G134,2)=SalaryDetails!D134,"1","0")</f>
        <v>1</v>
      </c>
      <c r="I134">
        <v>4443</v>
      </c>
      <c r="J134" s="7" t="str">
        <f>IF(I134 = SalaryDetails!E134,"1","0")</f>
        <v>1</v>
      </c>
      <c r="K134">
        <v>4256.43017578125</v>
      </c>
      <c r="L134" t="str">
        <f>IF(ROUND(Sheet1!K134,2)=SalaryDetails!F134,"1","0")</f>
        <v>1</v>
      </c>
    </row>
    <row r="135" spans="1:12" x14ac:dyDescent="0.3">
      <c r="A135" t="s">
        <v>314</v>
      </c>
      <c r="B135" s="7" t="str">
        <f>IF(A135=SalaryDetails!A135,"1","0")</f>
        <v>1</v>
      </c>
      <c r="C135">
        <v>3751</v>
      </c>
      <c r="D135" s="7" t="str">
        <f>IF(C135 = SalaryDetails!B135, "1","0")</f>
        <v>1</v>
      </c>
      <c r="E135">
        <v>1900</v>
      </c>
      <c r="F135" s="7" t="str">
        <f>IF(E135=SalaryDetails!C135,"1","0")</f>
        <v>1</v>
      </c>
      <c r="G135">
        <v>303.17999267578102</v>
      </c>
      <c r="H135" s="7" t="str">
        <f>IF(ROUND(G135,2)=SalaryDetails!D135,"1","0")</f>
        <v>1</v>
      </c>
      <c r="I135">
        <v>5651</v>
      </c>
      <c r="J135" s="7" t="str">
        <f>IF(I135 = SalaryDetails!E135,"1","0")</f>
        <v>1</v>
      </c>
      <c r="K135">
        <v>5347.81982421875</v>
      </c>
      <c r="L135" t="str">
        <f>IF(ROUND(Sheet1!K135,2)=SalaryDetails!F135,"1","0")</f>
        <v>1</v>
      </c>
    </row>
    <row r="136" spans="1:12" x14ac:dyDescent="0.3">
      <c r="A136" t="s">
        <v>316</v>
      </c>
      <c r="B136" s="7" t="str">
        <f>IF(A136=SalaryDetails!A136,"1","0")</f>
        <v>1</v>
      </c>
      <c r="C136">
        <v>1206</v>
      </c>
      <c r="D136" s="7" t="str">
        <f>IF(C136 = SalaryDetails!B136, "1","0")</f>
        <v>1</v>
      </c>
      <c r="E136">
        <v>550</v>
      </c>
      <c r="F136" s="7" t="str">
        <f>IF(E136=SalaryDetails!C136,"1","0")</f>
        <v>1</v>
      </c>
      <c r="G136">
        <v>103.709999084473</v>
      </c>
      <c r="H136" s="7" t="str">
        <f>IF(ROUND(G136,2)=SalaryDetails!D136,"1","0")</f>
        <v>1</v>
      </c>
      <c r="I136">
        <v>1756</v>
      </c>
      <c r="J136" s="7" t="str">
        <f>IF(I136 = SalaryDetails!E136,"1","0")</f>
        <v>1</v>
      </c>
      <c r="K136">
        <v>1652.2900390625</v>
      </c>
      <c r="L136" t="str">
        <f>IF(ROUND(Sheet1!K136,2)=SalaryDetails!F136,"1","0")</f>
        <v>1</v>
      </c>
    </row>
    <row r="137" spans="1:12" x14ac:dyDescent="0.3">
      <c r="A137" t="s">
        <v>318</v>
      </c>
      <c r="B137" s="7" t="str">
        <f>IF(A137=SalaryDetails!A137,"1","0")</f>
        <v>1</v>
      </c>
      <c r="C137">
        <v>3279</v>
      </c>
      <c r="D137" s="7" t="str">
        <f>IF(C137 = SalaryDetails!B137, "1","0")</f>
        <v>1</v>
      </c>
      <c r="E137">
        <v>100</v>
      </c>
      <c r="F137" s="7" t="str">
        <f>IF(E137=SalaryDetails!C137,"1","0")</f>
        <v>1</v>
      </c>
      <c r="G137">
        <v>252.41000366210901</v>
      </c>
      <c r="H137" s="7" t="str">
        <f>IF(ROUND(G137,2)=SalaryDetails!D137,"1","0")</f>
        <v>1</v>
      </c>
      <c r="I137">
        <v>3379</v>
      </c>
      <c r="J137" s="7" t="str">
        <f>IF(I137 = SalaryDetails!E137,"1","0")</f>
        <v>1</v>
      </c>
      <c r="K137">
        <v>3126.59008789063</v>
      </c>
      <c r="L137" t="str">
        <f>IF(ROUND(Sheet1!K137,2)=SalaryDetails!F137,"1","0")</f>
        <v>1</v>
      </c>
    </row>
    <row r="138" spans="1:12" x14ac:dyDescent="0.3">
      <c r="A138" t="s">
        <v>320</v>
      </c>
      <c r="B138" s="7" t="str">
        <f>IF(A138=SalaryDetails!A138,"1","0")</f>
        <v>1</v>
      </c>
      <c r="C138">
        <v>1476</v>
      </c>
      <c r="D138" s="7" t="str">
        <f>IF(C138 = SalaryDetails!B138, "1","0")</f>
        <v>1</v>
      </c>
      <c r="E138">
        <v>93.360107421875</v>
      </c>
      <c r="F138" s="7" t="str">
        <f>IF(E138=SalaryDetails!C138,"1","0")</f>
        <v>0</v>
      </c>
      <c r="G138">
        <v>863.27978515625</v>
      </c>
      <c r="H138" s="7" t="str">
        <f>IF(ROUND(G138,2)=SalaryDetails!D138,"1","0")</f>
        <v>0</v>
      </c>
      <c r="I138">
        <v>2526</v>
      </c>
      <c r="J138" s="7" t="str">
        <f>IF(I138 = SalaryDetails!E138,"1","0")</f>
        <v>1</v>
      </c>
      <c r="K138">
        <v>2432.63989257813</v>
      </c>
      <c r="L138" t="str">
        <f>IF(ROUND(Sheet1!K138,2)=SalaryDetails!F138,"1","0")</f>
        <v>1</v>
      </c>
    </row>
    <row r="139" spans="1:12" x14ac:dyDescent="0.3">
      <c r="A139" t="s">
        <v>322</v>
      </c>
      <c r="B139" s="7" t="str">
        <f>IF(A139=SalaryDetails!A139,"1","0")</f>
        <v>1</v>
      </c>
      <c r="C139">
        <v>1916.99998474121</v>
      </c>
      <c r="D139" s="7">
        <v>1</v>
      </c>
      <c r="E139">
        <v>400</v>
      </c>
      <c r="F139" s="7" t="str">
        <f>IF(E139=SalaryDetails!C139,"1","0")</f>
        <v>1</v>
      </c>
      <c r="G139">
        <v>131.77000427246099</v>
      </c>
      <c r="H139" s="7" t="str">
        <f>IF(ROUND(G139,2)=SalaryDetails!D139,"1","0")</f>
        <v>1</v>
      </c>
      <c r="I139">
        <v>2316.99998474121</v>
      </c>
      <c r="J139" s="7" t="str">
        <f>IF(I139 = SalaryDetails!E139,"1","0")</f>
        <v>0</v>
      </c>
      <c r="K139">
        <v>2185.22998046875</v>
      </c>
      <c r="L139" t="str">
        <f>IF(ROUND(Sheet1!K139,2)=SalaryDetails!F139,"1","0")</f>
        <v>1</v>
      </c>
    </row>
    <row r="140" spans="1:12" x14ac:dyDescent="0.3">
      <c r="A140" t="s">
        <v>324</v>
      </c>
      <c r="B140" s="7" t="str">
        <f>IF(A140=SalaryDetails!A140,"1","0")</f>
        <v>1</v>
      </c>
      <c r="C140">
        <v>1371</v>
      </c>
      <c r="D140" s="7" t="str">
        <f>IF(C140 = SalaryDetails!B140, "1","0")</f>
        <v>1</v>
      </c>
      <c r="E140">
        <v>1500</v>
      </c>
      <c r="F140" s="7" t="str">
        <f>IF(E140=SalaryDetails!C140,"1","0")</f>
        <v>1</v>
      </c>
      <c r="G140">
        <v>130.08999633789099</v>
      </c>
      <c r="H140" s="7" t="str">
        <f>IF(ROUND(G140,2)=SalaryDetails!D140,"1","0")</f>
        <v>1</v>
      </c>
      <c r="I140">
        <v>2871</v>
      </c>
      <c r="J140" s="7" t="str">
        <f>IF(I140 = SalaryDetails!E140,"1","0")</f>
        <v>1</v>
      </c>
      <c r="K140">
        <v>2740.90991210938</v>
      </c>
      <c r="L140" t="str">
        <f>IF(ROUND(Sheet1!K140,2)=SalaryDetails!F140,"1","0")</f>
        <v>1</v>
      </c>
    </row>
    <row r="141" spans="1:12" x14ac:dyDescent="0.3">
      <c r="A141" t="s">
        <v>326</v>
      </c>
      <c r="B141" s="7" t="str">
        <f>IF(A141=SalaryDetails!A141,"1","0")</f>
        <v>1</v>
      </c>
      <c r="C141">
        <v>1395</v>
      </c>
      <c r="D141" s="7" t="str">
        <f>IF(C141 = SalaryDetails!B141, "1","0")</f>
        <v>1</v>
      </c>
      <c r="E141">
        <v>1350</v>
      </c>
      <c r="F141" s="7" t="str">
        <f>IF(E141=SalaryDetails!C141,"1","0")</f>
        <v>1</v>
      </c>
      <c r="G141">
        <v>147.13999938964801</v>
      </c>
      <c r="H141" s="7" t="str">
        <f>IF(ROUND(G141,2)=SalaryDetails!D141,"1","0")</f>
        <v>1</v>
      </c>
      <c r="I141">
        <v>2745</v>
      </c>
      <c r="J141" s="7" t="str">
        <f>IF(I141 = SalaryDetails!E141,"1","0")</f>
        <v>1</v>
      </c>
      <c r="K141">
        <v>2597.86010742188</v>
      </c>
      <c r="L141" t="str">
        <f>IF(ROUND(Sheet1!K141,2)=SalaryDetails!F141,"1","0")</f>
        <v>1</v>
      </c>
    </row>
    <row r="142" spans="1:12" x14ac:dyDescent="0.3">
      <c r="A142" t="s">
        <v>328</v>
      </c>
      <c r="B142" s="7" t="str">
        <f>IF(A142=SalaryDetails!A142,"1","0")</f>
        <v>1</v>
      </c>
      <c r="C142">
        <v>3237</v>
      </c>
      <c r="D142" s="7" t="str">
        <f>IF(C142 = SalaryDetails!B142, "1","0")</f>
        <v>1</v>
      </c>
      <c r="E142">
        <v>1350</v>
      </c>
      <c r="F142" s="7" t="str">
        <f>IF(E142=SalaryDetails!C142,"1","0")</f>
        <v>1</v>
      </c>
      <c r="G142">
        <v>293.92999267578102</v>
      </c>
      <c r="H142" s="7" t="str">
        <f>IF(ROUND(G142,2)=SalaryDetails!D142,"1","0")</f>
        <v>1</v>
      </c>
      <c r="I142">
        <v>4587</v>
      </c>
      <c r="J142" s="7" t="str">
        <f>IF(I142 = SalaryDetails!E142,"1","0")</f>
        <v>1</v>
      </c>
      <c r="K142">
        <v>4293.06982421875</v>
      </c>
      <c r="L142" t="str">
        <f>IF(ROUND(Sheet1!K142,2)=SalaryDetails!F142,"1","0")</f>
        <v>1</v>
      </c>
    </row>
    <row r="143" spans="1:12" x14ac:dyDescent="0.3">
      <c r="A143" t="s">
        <v>330</v>
      </c>
      <c r="B143" s="7" t="str">
        <f>IF(A143=SalaryDetails!A143,"1","0")</f>
        <v>1</v>
      </c>
      <c r="C143">
        <v>1620</v>
      </c>
      <c r="D143" s="7" t="str">
        <f>IF(C143 = SalaryDetails!B143, "1","0")</f>
        <v>1</v>
      </c>
      <c r="E143">
        <v>1900</v>
      </c>
      <c r="F143" s="7" t="str">
        <f>IF(E143=SalaryDetails!C143,"1","0")</f>
        <v>1</v>
      </c>
      <c r="G143">
        <v>85.25</v>
      </c>
      <c r="H143" s="7" t="str">
        <f>IF(ROUND(G143,2)=SalaryDetails!D143,"1","0")</f>
        <v>1</v>
      </c>
      <c r="I143">
        <v>3520</v>
      </c>
      <c r="J143" s="7" t="str">
        <f>IF(I143 = SalaryDetails!E143,"1","0")</f>
        <v>1</v>
      </c>
      <c r="K143">
        <v>3434.75</v>
      </c>
      <c r="L143" t="str">
        <f>IF(ROUND(Sheet1!K143,2)=SalaryDetails!F143,"1","0")</f>
        <v>1</v>
      </c>
    </row>
    <row r="144" spans="1:12" x14ac:dyDescent="0.3">
      <c r="A144" t="s">
        <v>332</v>
      </c>
      <c r="B144" s="7" t="str">
        <f>IF(A144=SalaryDetails!A144,"1","0")</f>
        <v>1</v>
      </c>
      <c r="C144">
        <v>3718</v>
      </c>
      <c r="D144" s="7" t="str">
        <f>IF(C144 = SalaryDetails!B144, "1","0")</f>
        <v>1</v>
      </c>
      <c r="E144">
        <v>2000</v>
      </c>
      <c r="F144" s="7" t="str">
        <f>IF(E144=SalaryDetails!C144,"1","0")</f>
        <v>1</v>
      </c>
      <c r="G144">
        <v>317.489990234375</v>
      </c>
      <c r="H144" s="7" t="str">
        <f>IF(ROUND(G144,2)=SalaryDetails!D144,"1","0")</f>
        <v>1</v>
      </c>
      <c r="I144">
        <v>5718</v>
      </c>
      <c r="J144" s="7" t="str">
        <f>IF(I144 = SalaryDetails!E144,"1","0")</f>
        <v>1</v>
      </c>
      <c r="K144">
        <v>5400.509765625</v>
      </c>
      <c r="L144" t="str">
        <f>IF(ROUND(Sheet1!K144,2)=SalaryDetails!F144,"1","0")</f>
        <v>1</v>
      </c>
    </row>
    <row r="145" spans="1:12" x14ac:dyDescent="0.3">
      <c r="A145" t="s">
        <v>334</v>
      </c>
      <c r="B145" s="7" t="str">
        <f>IF(A145=SalaryDetails!A145,"1","0")</f>
        <v>1</v>
      </c>
      <c r="C145">
        <v>1784</v>
      </c>
      <c r="D145" s="7" t="str">
        <f>IF(C145 = SalaryDetails!B145, "1","0")</f>
        <v>1</v>
      </c>
      <c r="E145">
        <v>200</v>
      </c>
      <c r="F145" s="7" t="str">
        <f>IF(E145=SalaryDetails!C145,"1","0")</f>
        <v>1</v>
      </c>
      <c r="G145">
        <v>105.800003051758</v>
      </c>
      <c r="H145" s="7" t="str">
        <f>IF(ROUND(G145,2)=SalaryDetails!D145,"1","0")</f>
        <v>1</v>
      </c>
      <c r="I145">
        <v>1984</v>
      </c>
      <c r="J145" s="7" t="str">
        <f>IF(I145 = SalaryDetails!E145,"1","0")</f>
        <v>1</v>
      </c>
      <c r="K145">
        <v>1878.19995117188</v>
      </c>
      <c r="L145" t="str">
        <f>IF(ROUND(Sheet1!K145,2)=SalaryDetails!F145,"1","0")</f>
        <v>1</v>
      </c>
    </row>
    <row r="146" spans="1:12" x14ac:dyDescent="0.3">
      <c r="A146" t="s">
        <v>336</v>
      </c>
      <c r="B146" s="7" t="str">
        <f>IF(A146=SalaryDetails!A146,"1","0")</f>
        <v>1</v>
      </c>
      <c r="C146">
        <v>3981</v>
      </c>
      <c r="D146" s="7" t="str">
        <f>IF(C146 = SalaryDetails!B146, "1","0")</f>
        <v>1</v>
      </c>
      <c r="E146">
        <v>1800</v>
      </c>
      <c r="F146" s="7" t="str">
        <f>IF(E146=SalaryDetails!C146,"1","0")</f>
        <v>1</v>
      </c>
      <c r="G146">
        <v>437.13000488281301</v>
      </c>
      <c r="H146" s="7" t="str">
        <f>IF(ROUND(G146,2)=SalaryDetails!D146,"1","0")</f>
        <v>1</v>
      </c>
      <c r="I146">
        <v>5781</v>
      </c>
      <c r="J146" s="7" t="str">
        <f>IF(I146 = SalaryDetails!E146,"1","0")</f>
        <v>1</v>
      </c>
      <c r="K146">
        <v>5343.8701171875</v>
      </c>
      <c r="L146" t="str">
        <f>IF(ROUND(Sheet1!K146,2)=SalaryDetails!F146,"1","0")</f>
        <v>1</v>
      </c>
    </row>
    <row r="147" spans="1:12" x14ac:dyDescent="0.3">
      <c r="A147" t="s">
        <v>338</v>
      </c>
      <c r="B147" s="7" t="str">
        <f>IF(A147=SalaryDetails!A147,"1","0")</f>
        <v>1</v>
      </c>
      <c r="C147">
        <v>2222</v>
      </c>
      <c r="D147" s="7" t="str">
        <f>IF(C147 = SalaryDetails!B147, "1","0")</f>
        <v>1</v>
      </c>
      <c r="E147">
        <v>1200</v>
      </c>
      <c r="F147" s="7" t="str">
        <f>IF(E147=SalaryDetails!C147,"1","0")</f>
        <v>1</v>
      </c>
      <c r="G147">
        <v>183.19000244140599</v>
      </c>
      <c r="H147" s="7" t="str">
        <f>IF(ROUND(G147,2)=SalaryDetails!D147,"1","0")</f>
        <v>1</v>
      </c>
      <c r="I147">
        <v>3422</v>
      </c>
      <c r="J147" s="7" t="str">
        <f>IF(I147 = SalaryDetails!E147,"1","0")</f>
        <v>1</v>
      </c>
      <c r="K147">
        <v>3238.81005859375</v>
      </c>
      <c r="L147" t="str">
        <f>IF(ROUND(Sheet1!K147,2)=SalaryDetails!F147,"1","0")</f>
        <v>1</v>
      </c>
    </row>
    <row r="148" spans="1:12" x14ac:dyDescent="0.3">
      <c r="A148" t="s">
        <v>340</v>
      </c>
      <c r="B148" s="7" t="str">
        <f>IF(A148=SalaryDetails!A148,"1","0")</f>
        <v>1</v>
      </c>
      <c r="C148">
        <v>3706</v>
      </c>
      <c r="D148" s="7" t="str">
        <f>IF(C148 = SalaryDetails!B148, "1","0")</f>
        <v>1</v>
      </c>
      <c r="E148">
        <v>400</v>
      </c>
      <c r="F148" s="7" t="str">
        <f>IF(E148=SalaryDetails!C148,"1","0")</f>
        <v>1</v>
      </c>
      <c r="G148">
        <v>328.07000732421898</v>
      </c>
      <c r="H148" s="7" t="str">
        <f>IF(ROUND(G148,2)=SalaryDetails!D148,"1","0")</f>
        <v>1</v>
      </c>
      <c r="I148">
        <v>4106</v>
      </c>
      <c r="J148" s="7" t="str">
        <f>IF(I148 = SalaryDetails!E148,"1","0")</f>
        <v>1</v>
      </c>
      <c r="K148">
        <v>3777.92993164063</v>
      </c>
      <c r="L148" t="str">
        <f>IF(ROUND(Sheet1!K148,2)=SalaryDetails!F148,"1","0")</f>
        <v>1</v>
      </c>
    </row>
    <row r="149" spans="1:12" x14ac:dyDescent="0.3">
      <c r="A149" t="s">
        <v>342</v>
      </c>
      <c r="B149" s="7" t="str">
        <f>IF(A149=SalaryDetails!A149,"1","0")</f>
        <v>1</v>
      </c>
      <c r="C149">
        <v>3993</v>
      </c>
      <c r="D149" s="7" t="str">
        <f>IF(C149 = SalaryDetails!B149, "1","0")</f>
        <v>1</v>
      </c>
      <c r="E149">
        <v>1750</v>
      </c>
      <c r="F149" s="7" t="str">
        <f>IF(E149=SalaryDetails!C149,"1","0")</f>
        <v>1</v>
      </c>
      <c r="G149">
        <v>316.17999267578102</v>
      </c>
      <c r="H149" s="7" t="str">
        <f>IF(ROUND(G149,2)=SalaryDetails!D149,"1","0")</f>
        <v>1</v>
      </c>
      <c r="I149">
        <v>5743</v>
      </c>
      <c r="J149" s="7" t="str">
        <f>IF(I149 = SalaryDetails!E149,"1","0")</f>
        <v>1</v>
      </c>
      <c r="K149">
        <v>5426.81982421875</v>
      </c>
      <c r="L149" t="str">
        <f>IF(ROUND(Sheet1!K149,2)=SalaryDetails!F149,"1","0")</f>
        <v>1</v>
      </c>
    </row>
    <row r="150" spans="1:12" x14ac:dyDescent="0.3">
      <c r="A150" t="s">
        <v>344</v>
      </c>
      <c r="B150" s="7" t="str">
        <f>IF(A150=SalaryDetails!A150,"1","0")</f>
        <v>1</v>
      </c>
      <c r="C150">
        <v>3283</v>
      </c>
      <c r="D150" s="7" t="str">
        <f>IF(C150 = SalaryDetails!B150, "1","0")</f>
        <v>1</v>
      </c>
      <c r="E150">
        <v>750</v>
      </c>
      <c r="F150" s="7" t="str">
        <f>IF(E150=SalaryDetails!C150,"1","0")</f>
        <v>1</v>
      </c>
      <c r="G150">
        <v>291.45999145507801</v>
      </c>
      <c r="H150" s="7" t="str">
        <f>IF(ROUND(G150,2)=SalaryDetails!D150,"1","0")</f>
        <v>1</v>
      </c>
      <c r="I150">
        <v>4033</v>
      </c>
      <c r="J150" s="7" t="str">
        <f>IF(I150 = SalaryDetails!E150,"1","0")</f>
        <v>1</v>
      </c>
      <c r="K150">
        <v>3741.5400390625</v>
      </c>
      <c r="L150" t="str">
        <f>IF(ROUND(Sheet1!K150,2)=SalaryDetails!F150,"1","0")</f>
        <v>1</v>
      </c>
    </row>
    <row r="151" spans="1:12" x14ac:dyDescent="0.3">
      <c r="A151" t="s">
        <v>346</v>
      </c>
      <c r="B151" s="7" t="str">
        <f>IF(A151=SalaryDetails!A151,"1","0")</f>
        <v>1</v>
      </c>
      <c r="C151">
        <v>3459</v>
      </c>
      <c r="D151" s="7" t="str">
        <f>IF(C151 = SalaryDetails!B151, "1","0")</f>
        <v>1</v>
      </c>
      <c r="E151">
        <v>1250</v>
      </c>
      <c r="F151" s="7" t="str">
        <f>IF(E151=SalaryDetails!C151,"1","0")</f>
        <v>1</v>
      </c>
      <c r="G151">
        <v>202.25</v>
      </c>
      <c r="H151" s="7" t="str">
        <f>IF(ROUND(G151,2)=SalaryDetails!D151,"1","0")</f>
        <v>1</v>
      </c>
      <c r="I151">
        <v>4709</v>
      </c>
      <c r="J151" s="7" t="str">
        <f>IF(I151 = SalaryDetails!E151,"1","0")</f>
        <v>1</v>
      </c>
      <c r="K151">
        <v>4506.75</v>
      </c>
      <c r="L151" t="str">
        <f>IF(ROUND(Sheet1!K151,2)=SalaryDetails!F151,"1","0")</f>
        <v>1</v>
      </c>
    </row>
    <row r="152" spans="1:12" x14ac:dyDescent="0.3">
      <c r="A152" t="s">
        <v>348</v>
      </c>
      <c r="B152" s="7" t="str">
        <f>IF(A152=SalaryDetails!A152,"1","0")</f>
        <v>1</v>
      </c>
      <c r="C152">
        <v>3831</v>
      </c>
      <c r="D152" s="7" t="str">
        <f>IF(C152 = SalaryDetails!B152, "1","0")</f>
        <v>1</v>
      </c>
      <c r="E152">
        <v>1100</v>
      </c>
      <c r="F152" s="7" t="str">
        <f>IF(E152=SalaryDetails!C152,"1","0")</f>
        <v>1</v>
      </c>
      <c r="G152">
        <v>536.780029296875</v>
      </c>
      <c r="H152" s="7" t="str">
        <f>IF(ROUND(G152,2)=SalaryDetails!D152,"1","0")</f>
        <v>1</v>
      </c>
      <c r="I152">
        <v>4931</v>
      </c>
      <c r="J152" s="7" t="str">
        <f>IF(I152 = SalaryDetails!E152,"1","0")</f>
        <v>1</v>
      </c>
      <c r="K152">
        <v>4394.22021484375</v>
      </c>
      <c r="L152" t="str">
        <f>IF(ROUND(Sheet1!K152,2)=SalaryDetails!F152,"1","0")</f>
        <v>1</v>
      </c>
    </row>
    <row r="153" spans="1:12" x14ac:dyDescent="0.3">
      <c r="A153" t="s">
        <v>350</v>
      </c>
      <c r="B153" s="7" t="str">
        <f>IF(A153=SalaryDetails!A153,"1","0")</f>
        <v>1</v>
      </c>
      <c r="C153">
        <v>1426</v>
      </c>
      <c r="D153" s="7" t="str">
        <f>IF(C153 = SalaryDetails!B153, "1","0")</f>
        <v>1</v>
      </c>
      <c r="E153">
        <v>500</v>
      </c>
      <c r="F153" s="7" t="str">
        <f>IF(E153=SalaryDetails!C153,"1","0")</f>
        <v>1</v>
      </c>
      <c r="G153">
        <v>200.38000488281301</v>
      </c>
      <c r="H153" s="7" t="str">
        <f>IF(ROUND(G153,2)=SalaryDetails!D153,"1","0")</f>
        <v>1</v>
      </c>
      <c r="I153">
        <v>1926</v>
      </c>
      <c r="J153" s="7" t="str">
        <f>IF(I153 = SalaryDetails!E153,"1","0")</f>
        <v>1</v>
      </c>
      <c r="K153">
        <v>1725.61999511719</v>
      </c>
      <c r="L153" t="str">
        <f>IF(ROUND(Sheet1!K153,2)=SalaryDetails!F153,"1","0")</f>
        <v>1</v>
      </c>
    </row>
    <row r="154" spans="1:12" x14ac:dyDescent="0.3">
      <c r="A154" t="s">
        <v>352</v>
      </c>
      <c r="B154" s="7" t="str">
        <f>IF(A154=SalaryDetails!A154,"1","0")</f>
        <v>1</v>
      </c>
      <c r="C154">
        <v>2226</v>
      </c>
      <c r="D154" s="7" t="str">
        <f>IF(C154 = SalaryDetails!B154, "1","0")</f>
        <v>1</v>
      </c>
      <c r="E154">
        <v>2000</v>
      </c>
      <c r="F154" s="7" t="str">
        <f>IF(E154=SalaryDetails!C154,"1","0")</f>
        <v>1</v>
      </c>
      <c r="G154">
        <v>329.04000854492199</v>
      </c>
      <c r="H154" s="7" t="str">
        <f>IF(ROUND(G154,2)=SalaryDetails!D154,"1","0")</f>
        <v>1</v>
      </c>
      <c r="I154">
        <v>4226</v>
      </c>
      <c r="J154" s="7" t="str">
        <f>IF(I154 = SalaryDetails!E154,"1","0")</f>
        <v>1</v>
      </c>
      <c r="K154">
        <v>3896.9599609375</v>
      </c>
      <c r="L154" t="str">
        <f>IF(ROUND(Sheet1!K154,2)=SalaryDetails!F154,"1","0")</f>
        <v>1</v>
      </c>
    </row>
    <row r="155" spans="1:12" x14ac:dyDescent="0.3">
      <c r="A155" t="s">
        <v>354</v>
      </c>
      <c r="B155" s="7" t="str">
        <f>IF(A155=SalaryDetails!A155,"1","0")</f>
        <v>1</v>
      </c>
      <c r="C155">
        <v>3578</v>
      </c>
      <c r="D155" s="7" t="str">
        <f>IF(C155 = SalaryDetails!B155, "1","0")</f>
        <v>1</v>
      </c>
      <c r="E155">
        <v>1050</v>
      </c>
      <c r="F155" s="7" t="str">
        <f>IF(E155=SalaryDetails!C155,"1","0")</f>
        <v>1</v>
      </c>
      <c r="G155">
        <v>383.54998779296898</v>
      </c>
      <c r="H155" s="7" t="str">
        <f>IF(ROUND(G155,2)=SalaryDetails!D155,"1","0")</f>
        <v>1</v>
      </c>
      <c r="I155">
        <v>4628</v>
      </c>
      <c r="J155" s="7" t="str">
        <f>IF(I155 = SalaryDetails!E155,"1","0")</f>
        <v>1</v>
      </c>
      <c r="K155">
        <v>4244.4501953125</v>
      </c>
      <c r="L155" t="str">
        <f>IF(ROUND(Sheet1!K155,2)=SalaryDetails!F155,"1","0")</f>
        <v>1</v>
      </c>
    </row>
    <row r="156" spans="1:12" x14ac:dyDescent="0.3">
      <c r="A156" t="s">
        <v>356</v>
      </c>
      <c r="B156" s="7" t="str">
        <f>IF(A156=SalaryDetails!A156,"1","0")</f>
        <v>1</v>
      </c>
      <c r="C156">
        <v>2063</v>
      </c>
      <c r="D156" s="7" t="str">
        <f>IF(C156 = SalaryDetails!B156, "1","0")</f>
        <v>1</v>
      </c>
      <c r="E156">
        <v>1550</v>
      </c>
      <c r="F156" s="7" t="str">
        <f>IF(E156=SalaryDetails!C156,"1","0")</f>
        <v>1</v>
      </c>
      <c r="G156">
        <v>138.13000488281301</v>
      </c>
      <c r="H156" s="7" t="str">
        <f>IF(ROUND(G156,2)=SalaryDetails!D156,"1","0")</f>
        <v>1</v>
      </c>
      <c r="I156">
        <v>3613</v>
      </c>
      <c r="J156" s="7" t="str">
        <f>IF(I156 = SalaryDetails!E156,"1","0")</f>
        <v>1</v>
      </c>
      <c r="K156">
        <v>3474.8699951171898</v>
      </c>
      <c r="L156" t="str">
        <f>IF(ROUND(Sheet1!K156,2)=SalaryDetails!F156,"1","0")</f>
        <v>1</v>
      </c>
    </row>
    <row r="157" spans="1:12" x14ac:dyDescent="0.3">
      <c r="A157" t="s">
        <v>358</v>
      </c>
      <c r="B157" s="7" t="str">
        <f>IF(A157=SalaryDetails!A157,"1","0")</f>
        <v>1</v>
      </c>
      <c r="C157">
        <v>1498</v>
      </c>
      <c r="D157" s="7" t="str">
        <f>IF(C157 = SalaryDetails!B157, "1","0")</f>
        <v>1</v>
      </c>
      <c r="E157">
        <v>1450</v>
      </c>
      <c r="F157" s="7" t="str">
        <f>IF(E157=SalaryDetails!C157,"1","0")</f>
        <v>1</v>
      </c>
      <c r="G157">
        <v>131.92999267578099</v>
      </c>
      <c r="H157" s="7" t="str">
        <f>IF(ROUND(G157,2)=SalaryDetails!D157,"1","0")</f>
        <v>1</v>
      </c>
      <c r="I157">
        <v>2948</v>
      </c>
      <c r="J157" s="7" t="str">
        <f>IF(I157 = SalaryDetails!E157,"1","0")</f>
        <v>1</v>
      </c>
      <c r="K157">
        <v>2816.07006835938</v>
      </c>
      <c r="L157" t="str">
        <f>IF(ROUND(Sheet1!K157,2)=SalaryDetails!F157,"1","0")</f>
        <v>1</v>
      </c>
    </row>
    <row r="158" spans="1:12" x14ac:dyDescent="0.3">
      <c r="A158" t="s">
        <v>360</v>
      </c>
      <c r="B158" s="7" t="str">
        <f>IF(A158=SalaryDetails!A158,"1","0")</f>
        <v>1</v>
      </c>
      <c r="C158">
        <v>2507</v>
      </c>
      <c r="D158" s="7" t="str">
        <f>IF(C158 = SalaryDetails!B158, "1","0")</f>
        <v>1</v>
      </c>
      <c r="E158">
        <v>1600</v>
      </c>
      <c r="F158" s="7" t="str">
        <f>IF(E158=SalaryDetails!C158,"1","0")</f>
        <v>1</v>
      </c>
      <c r="G158">
        <v>160.16000366210901</v>
      </c>
      <c r="H158" s="7" t="str">
        <f>IF(ROUND(G158,2)=SalaryDetails!D158,"1","0")</f>
        <v>1</v>
      </c>
      <c r="I158">
        <v>4107</v>
      </c>
      <c r="J158" s="7" t="str">
        <f>IF(I158 = SalaryDetails!E158,"1","0")</f>
        <v>1</v>
      </c>
      <c r="K158">
        <v>3946.84008789063</v>
      </c>
      <c r="L158" t="str">
        <f>IF(ROUND(Sheet1!K158,2)=SalaryDetails!F158,"1","0")</f>
        <v>1</v>
      </c>
    </row>
    <row r="159" spans="1:12" x14ac:dyDescent="0.3">
      <c r="A159" t="s">
        <v>362</v>
      </c>
      <c r="B159" s="7" t="str">
        <f>IF(A159=SalaryDetails!A159,"1","0")</f>
        <v>1</v>
      </c>
      <c r="C159">
        <v>2215</v>
      </c>
      <c r="D159" s="7" t="str">
        <f>IF(C159 = SalaryDetails!B159, "1","0")</f>
        <v>1</v>
      </c>
      <c r="E159">
        <v>1950</v>
      </c>
      <c r="F159" s="7" t="str">
        <f>IF(E159=SalaryDetails!C159,"1","0")</f>
        <v>1</v>
      </c>
      <c r="G159">
        <v>177.44999694824199</v>
      </c>
      <c r="H159" s="7" t="str">
        <f>IF(ROUND(G159,2)=SalaryDetails!D159,"1","0")</f>
        <v>1</v>
      </c>
      <c r="I159">
        <v>4165</v>
      </c>
      <c r="J159" s="7" t="str">
        <f>IF(I159 = SalaryDetails!E159,"1","0")</f>
        <v>1</v>
      </c>
      <c r="K159">
        <v>3987.55004882813</v>
      </c>
      <c r="L159" t="str">
        <f>IF(ROUND(Sheet1!K159,2)=SalaryDetails!F159,"1","0")</f>
        <v>1</v>
      </c>
    </row>
    <row r="160" spans="1:12" x14ac:dyDescent="0.3">
      <c r="A160" t="s">
        <v>364</v>
      </c>
      <c r="B160" s="7" t="str">
        <f>IF(A160=SalaryDetails!A160,"1","0")</f>
        <v>1</v>
      </c>
      <c r="C160">
        <v>1977</v>
      </c>
      <c r="D160" s="7" t="str">
        <f>IF(C160 = SalaryDetails!B160, "1","0")</f>
        <v>1</v>
      </c>
      <c r="E160">
        <v>950</v>
      </c>
      <c r="F160" s="7" t="str">
        <f>IF(E160=SalaryDetails!C160,"1","0")</f>
        <v>1</v>
      </c>
      <c r="G160">
        <v>196.33999633789099</v>
      </c>
      <c r="H160" s="7" t="str">
        <f>IF(ROUND(G160,2)=SalaryDetails!D160,"1","0")</f>
        <v>1</v>
      </c>
      <c r="I160">
        <v>2927</v>
      </c>
      <c r="J160" s="7" t="str">
        <f>IF(I160 = SalaryDetails!E160,"1","0")</f>
        <v>1</v>
      </c>
      <c r="K160">
        <v>2730.65991210938</v>
      </c>
      <c r="L160" t="str">
        <f>IF(ROUND(Sheet1!K160,2)=SalaryDetails!F160,"1","0")</f>
        <v>1</v>
      </c>
    </row>
    <row r="161" spans="1:12" x14ac:dyDescent="0.3">
      <c r="A161" t="s">
        <v>366</v>
      </c>
      <c r="B161" s="7" t="str">
        <f>IF(A161=SalaryDetails!A161,"1","0")</f>
        <v>1</v>
      </c>
      <c r="C161">
        <v>2186</v>
      </c>
      <c r="D161" s="7" t="str">
        <f>IF(C161 = SalaryDetails!B161, "1","0")</f>
        <v>1</v>
      </c>
      <c r="E161">
        <v>900</v>
      </c>
      <c r="F161" s="7" t="str">
        <f>IF(E161=SalaryDetails!C161,"1","0")</f>
        <v>1</v>
      </c>
      <c r="G161">
        <v>123.129997253418</v>
      </c>
      <c r="H161" s="7" t="str">
        <f>IF(ROUND(G161,2)=SalaryDetails!D161,"1","0")</f>
        <v>1</v>
      </c>
      <c r="I161">
        <v>3086</v>
      </c>
      <c r="J161" s="7" t="str">
        <f>IF(I161 = SalaryDetails!E161,"1","0")</f>
        <v>1</v>
      </c>
      <c r="K161">
        <v>2962.8701171875</v>
      </c>
      <c r="L161" t="str">
        <f>IF(ROUND(Sheet1!K161,2)=SalaryDetails!F161,"1","0")</f>
        <v>1</v>
      </c>
    </row>
    <row r="162" spans="1:12" x14ac:dyDescent="0.3">
      <c r="A162" t="s">
        <v>368</v>
      </c>
      <c r="B162" s="7" t="str">
        <f>IF(A162=SalaryDetails!A162,"1","0")</f>
        <v>1</v>
      </c>
      <c r="C162">
        <v>2965</v>
      </c>
      <c r="D162" s="7" t="str">
        <f>IF(C162 = SalaryDetails!B162, "1","0")</f>
        <v>1</v>
      </c>
      <c r="E162">
        <v>1150</v>
      </c>
      <c r="F162" s="7" t="str">
        <f>IF(E162=SalaryDetails!C162,"1","0")</f>
        <v>1</v>
      </c>
      <c r="G162">
        <v>277.13000488281301</v>
      </c>
      <c r="H162" s="7" t="str">
        <f>IF(ROUND(G162,2)=SalaryDetails!D162,"1","0")</f>
        <v>1</v>
      </c>
      <c r="I162">
        <v>4115</v>
      </c>
      <c r="J162" s="7" t="str">
        <f>IF(I162 = SalaryDetails!E162,"1","0")</f>
        <v>1</v>
      </c>
      <c r="K162">
        <v>3837.8701171875</v>
      </c>
      <c r="L162" t="str">
        <f>IF(ROUND(Sheet1!K162,2)=SalaryDetails!F162,"1","0")</f>
        <v>1</v>
      </c>
    </row>
    <row r="163" spans="1:12" x14ac:dyDescent="0.3">
      <c r="A163" t="s">
        <v>370</v>
      </c>
      <c r="B163" s="7" t="str">
        <f>IF(A163=SalaryDetails!A163,"1","0")</f>
        <v>1</v>
      </c>
      <c r="C163">
        <v>1501</v>
      </c>
      <c r="D163" s="7" t="str">
        <f>IF(C163 = SalaryDetails!B163, "1","0")</f>
        <v>1</v>
      </c>
      <c r="E163">
        <v>850</v>
      </c>
      <c r="F163" s="7" t="str">
        <f>IF(E163=SalaryDetails!C163,"1","0")</f>
        <v>1</v>
      </c>
      <c r="G163">
        <v>138.25999450683599</v>
      </c>
      <c r="H163" s="7" t="str">
        <f>IF(ROUND(G163,2)=SalaryDetails!D163,"1","0")</f>
        <v>1</v>
      </c>
      <c r="I163">
        <v>2351</v>
      </c>
      <c r="J163" s="7" t="str">
        <f>IF(I163 = SalaryDetails!E163,"1","0")</f>
        <v>1</v>
      </c>
      <c r="K163">
        <v>2212.73999023438</v>
      </c>
      <c r="L163" t="str">
        <f>IF(ROUND(Sheet1!K163,2)=SalaryDetails!F163,"1","0")</f>
        <v>1</v>
      </c>
    </row>
    <row r="164" spans="1:12" x14ac:dyDescent="0.3">
      <c r="A164" t="s">
        <v>372</v>
      </c>
      <c r="B164" s="7" t="str">
        <f>IF(A164=SalaryDetails!A164,"1","0")</f>
        <v>1</v>
      </c>
      <c r="C164">
        <v>2588</v>
      </c>
      <c r="D164" s="7" t="str">
        <f>IF(C164 = SalaryDetails!B164, "1","0")</f>
        <v>1</v>
      </c>
      <c r="E164">
        <v>1600</v>
      </c>
      <c r="F164" s="7" t="str">
        <f>IF(E164=SalaryDetails!C164,"1","0")</f>
        <v>1</v>
      </c>
      <c r="G164">
        <v>254.72000122070301</v>
      </c>
      <c r="H164" s="7" t="str">
        <f>IF(ROUND(G164,2)=SalaryDetails!D164,"1","0")</f>
        <v>1</v>
      </c>
      <c r="I164">
        <v>4188</v>
      </c>
      <c r="J164" s="7" t="str">
        <f>IF(I164 = SalaryDetails!E164,"1","0")</f>
        <v>1</v>
      </c>
      <c r="K164">
        <v>3933.28002929688</v>
      </c>
      <c r="L164" t="str">
        <f>IF(ROUND(Sheet1!K164,2)=SalaryDetails!F164,"1","0")</f>
        <v>1</v>
      </c>
    </row>
    <row r="165" spans="1:12" x14ac:dyDescent="0.3">
      <c r="A165" t="s">
        <v>374</v>
      </c>
      <c r="B165" s="7" t="str">
        <f>IF(A165=SalaryDetails!A165,"1","0")</f>
        <v>1</v>
      </c>
      <c r="C165">
        <v>3140</v>
      </c>
      <c r="D165" s="7" t="str">
        <f>IF(C165 = SalaryDetails!B165, "1","0")</f>
        <v>1</v>
      </c>
      <c r="E165">
        <v>400</v>
      </c>
      <c r="F165" s="7" t="str">
        <f>IF(E165=SalaryDetails!C165,"1","0")</f>
        <v>1</v>
      </c>
      <c r="G165">
        <v>181.14999389648401</v>
      </c>
      <c r="H165" s="7" t="str">
        <f>IF(ROUND(G165,2)=SalaryDetails!D165,"1","0")</f>
        <v>1</v>
      </c>
      <c r="I165">
        <v>3540</v>
      </c>
      <c r="J165" s="7" t="str">
        <f>IF(I165 = SalaryDetails!E165,"1","0")</f>
        <v>1</v>
      </c>
      <c r="K165">
        <v>3358.85009765625</v>
      </c>
      <c r="L165" t="str">
        <f>IF(ROUND(Sheet1!K165,2)=SalaryDetails!F165,"1","0")</f>
        <v>1</v>
      </c>
    </row>
    <row r="166" spans="1:12" x14ac:dyDescent="0.3">
      <c r="A166" t="s">
        <v>376</v>
      </c>
      <c r="B166" s="7" t="str">
        <f>IF(A166=SalaryDetails!A166,"1","0")</f>
        <v>1</v>
      </c>
      <c r="C166">
        <v>2425</v>
      </c>
      <c r="D166" s="7" t="str">
        <f>IF(C166 = SalaryDetails!B166, "1","0")</f>
        <v>1</v>
      </c>
      <c r="E166">
        <v>1700</v>
      </c>
      <c r="F166" s="7" t="str">
        <f>IF(E166=SalaryDetails!C166,"1","0")</f>
        <v>1</v>
      </c>
      <c r="G166">
        <v>182.28999328613301</v>
      </c>
      <c r="H166" s="7" t="str">
        <f>IF(ROUND(G166,2)=SalaryDetails!D166,"1","0")</f>
        <v>1</v>
      </c>
      <c r="I166">
        <v>4125</v>
      </c>
      <c r="J166" s="7" t="str">
        <f>IF(I166 = SalaryDetails!E166,"1","0")</f>
        <v>1</v>
      </c>
      <c r="K166">
        <v>3942.7099609375</v>
      </c>
      <c r="L166" t="str">
        <f>IF(ROUND(Sheet1!K166,2)=SalaryDetails!F166,"1","0")</f>
        <v>1</v>
      </c>
    </row>
    <row r="167" spans="1:12" x14ac:dyDescent="0.3">
      <c r="A167" t="s">
        <v>378</v>
      </c>
      <c r="B167" s="7" t="str">
        <f>IF(A167=SalaryDetails!A167,"1","0")</f>
        <v>1</v>
      </c>
      <c r="C167">
        <v>1648</v>
      </c>
      <c r="D167" s="7" t="str">
        <f>IF(C167 = SalaryDetails!B167, "1","0")</f>
        <v>1</v>
      </c>
      <c r="E167">
        <v>50</v>
      </c>
      <c r="F167" s="7" t="str">
        <f>IF(E167=SalaryDetails!C167,"1","0")</f>
        <v>1</v>
      </c>
      <c r="G167">
        <v>123.040000915527</v>
      </c>
      <c r="H167" s="7" t="str">
        <f>IF(ROUND(G167,2)=SalaryDetails!D167,"1","0")</f>
        <v>1</v>
      </c>
      <c r="I167">
        <v>1698</v>
      </c>
      <c r="J167" s="7" t="str">
        <f>IF(I167 = SalaryDetails!E167,"1","0")</f>
        <v>1</v>
      </c>
      <c r="K167">
        <v>1574.9599609375</v>
      </c>
      <c r="L167" t="str">
        <f>IF(ROUND(Sheet1!K167,2)=SalaryDetails!F167,"1","0")</f>
        <v>1</v>
      </c>
    </row>
    <row r="168" spans="1:12" x14ac:dyDescent="0.3">
      <c r="A168" t="s">
        <v>380</v>
      </c>
      <c r="B168" s="7" t="str">
        <f>IF(A168=SalaryDetails!A168,"1","0")</f>
        <v>1</v>
      </c>
      <c r="C168">
        <v>3590</v>
      </c>
      <c r="D168" s="7" t="str">
        <f>IF(C168 = SalaryDetails!B168, "1","0")</f>
        <v>1</v>
      </c>
      <c r="E168">
        <v>1200</v>
      </c>
      <c r="F168" s="7" t="str">
        <f>IF(E168=SalaryDetails!C168,"1","0")</f>
        <v>1</v>
      </c>
      <c r="G168">
        <v>403.89001464843801</v>
      </c>
      <c r="H168" s="7" t="str">
        <f>IF(ROUND(G168,2)=SalaryDetails!D168,"1","0")</f>
        <v>1</v>
      </c>
      <c r="I168">
        <v>4790</v>
      </c>
      <c r="J168" s="7" t="str">
        <f>IF(I168 = SalaryDetails!E168,"1","0")</f>
        <v>1</v>
      </c>
      <c r="K168">
        <v>4386.10986328125</v>
      </c>
      <c r="L168" t="str">
        <f>IF(ROUND(Sheet1!K168,2)=SalaryDetails!F168,"1","0")</f>
        <v>1</v>
      </c>
    </row>
    <row r="169" spans="1:12" x14ac:dyDescent="0.3">
      <c r="A169" t="s">
        <v>382</v>
      </c>
      <c r="B169" s="7" t="str">
        <f>IF(A169=SalaryDetails!A169,"1","0")</f>
        <v>1</v>
      </c>
      <c r="C169">
        <v>2915</v>
      </c>
      <c r="D169" s="7" t="str">
        <f>IF(C169 = SalaryDetails!B169, "1","0")</f>
        <v>1</v>
      </c>
      <c r="E169">
        <v>1950</v>
      </c>
      <c r="F169" s="7" t="str">
        <f>IF(E169=SalaryDetails!C169,"1","0")</f>
        <v>1</v>
      </c>
      <c r="G169">
        <v>318.83999633789102</v>
      </c>
      <c r="H169" s="7" t="str">
        <f>IF(ROUND(G169,2)=SalaryDetails!D169,"1","0")</f>
        <v>1</v>
      </c>
      <c r="I169">
        <v>4865</v>
      </c>
      <c r="J169" s="7" t="str">
        <f>IF(I169 = SalaryDetails!E169,"1","0")</f>
        <v>1</v>
      </c>
      <c r="K169">
        <v>4546.16015625</v>
      </c>
      <c r="L169" t="str">
        <f>IF(ROUND(Sheet1!K169,2)=SalaryDetails!F169,"1","0")</f>
        <v>1</v>
      </c>
    </row>
    <row r="170" spans="1:12" x14ac:dyDescent="0.3">
      <c r="A170" t="s">
        <v>384</v>
      </c>
      <c r="B170" s="7" t="str">
        <f>IF(A170=SalaryDetails!A170,"1","0")</f>
        <v>1</v>
      </c>
      <c r="C170">
        <v>3912</v>
      </c>
      <c r="D170" s="7" t="str">
        <f>IF(C170 = SalaryDetails!B170, "1","0")</f>
        <v>1</v>
      </c>
      <c r="E170">
        <v>1450</v>
      </c>
      <c r="F170" s="7" t="str">
        <f>IF(E170=SalaryDetails!C170,"1","0")</f>
        <v>1</v>
      </c>
      <c r="G170">
        <v>272.10000610351602</v>
      </c>
      <c r="H170" s="7" t="str">
        <f>IF(ROUND(G170,2)=SalaryDetails!D170,"1","0")</f>
        <v>1</v>
      </c>
      <c r="I170">
        <v>5362</v>
      </c>
      <c r="J170" s="7" t="str">
        <f>IF(I170 = SalaryDetails!E170,"1","0")</f>
        <v>1</v>
      </c>
      <c r="K170">
        <v>5089.89990234375</v>
      </c>
      <c r="L170" t="str">
        <f>IF(ROUND(Sheet1!K170,2)=SalaryDetails!F170,"1","0")</f>
        <v>1</v>
      </c>
    </row>
    <row r="171" spans="1:12" x14ac:dyDescent="0.3">
      <c r="A171" t="s">
        <v>386</v>
      </c>
      <c r="B171" s="7" t="str">
        <f>IF(A171=SalaryDetails!A171,"1","0")</f>
        <v>1</v>
      </c>
      <c r="C171">
        <v>2342</v>
      </c>
      <c r="D171" s="7" t="str">
        <f>IF(C171 = SalaryDetails!B171, "1","0")</f>
        <v>1</v>
      </c>
      <c r="E171">
        <v>900</v>
      </c>
      <c r="F171" s="7" t="str">
        <f>IF(E171=SalaryDetails!C171,"1","0")</f>
        <v>1</v>
      </c>
      <c r="G171">
        <v>142.14999389648401</v>
      </c>
      <c r="H171" s="7" t="str">
        <f>IF(ROUND(G171,2)=SalaryDetails!D171,"1","0")</f>
        <v>1</v>
      </c>
      <c r="I171">
        <v>3242</v>
      </c>
      <c r="J171" s="7" t="str">
        <f>IF(I171 = SalaryDetails!E171,"1","0")</f>
        <v>1</v>
      </c>
      <c r="K171">
        <v>3099.85009765625</v>
      </c>
      <c r="L171" t="str">
        <f>IF(ROUND(Sheet1!K171,2)=SalaryDetails!F171,"1","0")</f>
        <v>1</v>
      </c>
    </row>
    <row r="172" spans="1:12" x14ac:dyDescent="0.3">
      <c r="A172" t="s">
        <v>388</v>
      </c>
      <c r="B172" s="7" t="str">
        <f>IF(A172=SalaryDetails!A172,"1","0")</f>
        <v>1</v>
      </c>
      <c r="C172">
        <v>2320</v>
      </c>
      <c r="D172" s="7" t="str">
        <f>IF(C172 = SalaryDetails!B172, "1","0")</f>
        <v>1</v>
      </c>
      <c r="E172">
        <v>1200</v>
      </c>
      <c r="F172" s="7" t="str">
        <f>IF(E172=SalaryDetails!C172,"1","0")</f>
        <v>1</v>
      </c>
      <c r="G172">
        <v>186.68</v>
      </c>
      <c r="H172" s="7" t="str">
        <f>IF(ROUND(G172,2)=SalaryDetails!D172,"1","0")</f>
        <v>1</v>
      </c>
      <c r="I172">
        <v>3520</v>
      </c>
      <c r="J172" s="7" t="str">
        <f>IF(I172 = SalaryDetails!E172,"1","0")</f>
        <v>1</v>
      </c>
      <c r="K172">
        <v>3333.32</v>
      </c>
      <c r="L172" t="str">
        <f>IF(ROUND(Sheet1!K172,2)=SalaryDetails!F172,"1","0")</f>
        <v>1</v>
      </c>
    </row>
    <row r="173" spans="1:12" x14ac:dyDescent="0.3">
      <c r="A173" t="s">
        <v>390</v>
      </c>
      <c r="B173" s="7" t="str">
        <f>IF(A173=SalaryDetails!A173,"1","0")</f>
        <v>1</v>
      </c>
      <c r="C173">
        <v>1523</v>
      </c>
      <c r="D173" s="7" t="str">
        <f>IF(C173 = SalaryDetails!B173, "1","0")</f>
        <v>1</v>
      </c>
      <c r="E173">
        <v>650</v>
      </c>
      <c r="F173" s="7" t="str">
        <f>IF(E173=SalaryDetails!C173,"1","0")</f>
        <v>1</v>
      </c>
      <c r="G173">
        <v>220.66000366210901</v>
      </c>
      <c r="H173" s="7" t="str">
        <f>IF(ROUND(G173,2)=SalaryDetails!D173,"1","0")</f>
        <v>1</v>
      </c>
      <c r="I173">
        <v>2173</v>
      </c>
      <c r="J173" s="7" t="str">
        <f>IF(I173 = SalaryDetails!E173,"1","0")</f>
        <v>1</v>
      </c>
      <c r="K173">
        <v>1952.33996582031</v>
      </c>
      <c r="L173" t="str">
        <f>IF(ROUND(Sheet1!K173,2)=SalaryDetails!F173,"1","0")</f>
        <v>1</v>
      </c>
    </row>
    <row r="174" spans="1:12" x14ac:dyDescent="0.3">
      <c r="A174" t="s">
        <v>392</v>
      </c>
      <c r="B174" s="7" t="str">
        <f>IF(A174=SalaryDetails!A174,"1","0")</f>
        <v>1</v>
      </c>
      <c r="C174">
        <v>3603</v>
      </c>
      <c r="D174" s="7" t="str">
        <f>IF(C174 = SalaryDetails!B174, "1","0")</f>
        <v>1</v>
      </c>
      <c r="E174">
        <v>700</v>
      </c>
      <c r="F174" s="7" t="str">
        <f>IF(E174=SalaryDetails!C174,"1","0")</f>
        <v>1</v>
      </c>
      <c r="G174">
        <v>299.85000610351602</v>
      </c>
      <c r="H174" s="7" t="str">
        <f>IF(ROUND(G174,2)=SalaryDetails!D174,"1","0")</f>
        <v>1</v>
      </c>
      <c r="I174">
        <v>4303</v>
      </c>
      <c r="J174" s="7" t="str">
        <f>IF(I174 = SalaryDetails!E174,"1","0")</f>
        <v>1</v>
      </c>
      <c r="K174">
        <v>4003.14990234375</v>
      </c>
      <c r="L174" t="str">
        <f>IF(ROUND(Sheet1!K174,2)=SalaryDetails!F174,"1","0")</f>
        <v>1</v>
      </c>
    </row>
    <row r="175" spans="1:12" x14ac:dyDescent="0.3">
      <c r="A175" t="s">
        <v>394</v>
      </c>
      <c r="B175" s="7" t="str">
        <f>IF(A175=SalaryDetails!A175,"1","0")</f>
        <v>1</v>
      </c>
      <c r="C175">
        <v>1611</v>
      </c>
      <c r="D175" s="7" t="str">
        <f>IF(C175 = SalaryDetails!B175, "1","0")</f>
        <v>1</v>
      </c>
      <c r="E175">
        <v>1300</v>
      </c>
      <c r="F175" s="7" t="str">
        <f>IF(E175=SalaryDetails!C175,"1","0")</f>
        <v>1</v>
      </c>
      <c r="G175">
        <v>180.46000671386699</v>
      </c>
      <c r="H175" s="7" t="str">
        <f>IF(ROUND(G175,2)=SalaryDetails!D175,"1","0")</f>
        <v>1</v>
      </c>
      <c r="I175">
        <v>2911</v>
      </c>
      <c r="J175" s="7" t="str">
        <f>IF(I175 = SalaryDetails!E175,"1","0")</f>
        <v>1</v>
      </c>
      <c r="K175">
        <v>2730.5400390625</v>
      </c>
      <c r="L175" t="str">
        <f>IF(ROUND(Sheet1!K175,2)=SalaryDetails!F175,"1","0")</f>
        <v>1</v>
      </c>
    </row>
    <row r="176" spans="1:12" x14ac:dyDescent="0.3">
      <c r="A176" t="s">
        <v>396</v>
      </c>
      <c r="B176" s="7" t="str">
        <f>IF(A176=SalaryDetails!A176,"1","0")</f>
        <v>1</v>
      </c>
      <c r="C176">
        <v>1442</v>
      </c>
      <c r="D176" s="7" t="str">
        <f>IF(C176 = SalaryDetails!B176, "1","0")</f>
        <v>1</v>
      </c>
      <c r="E176">
        <v>100</v>
      </c>
      <c r="F176" s="7" t="str">
        <f>IF(E176=SalaryDetails!C176,"1","0")</f>
        <v>1</v>
      </c>
      <c r="G176">
        <v>188.05000305175801</v>
      </c>
      <c r="H176" s="7" t="str">
        <f>IF(ROUND(G176,2)=SalaryDetails!D176,"1","0")</f>
        <v>1</v>
      </c>
      <c r="I176">
        <v>1542</v>
      </c>
      <c r="J176" s="7" t="str">
        <f>IF(I176 = SalaryDetails!E176,"1","0")</f>
        <v>1</v>
      </c>
      <c r="K176">
        <v>1353.9499969482399</v>
      </c>
      <c r="L176" t="str">
        <f>IF(ROUND(Sheet1!K176,2)=SalaryDetails!F176,"1","0")</f>
        <v>1</v>
      </c>
    </row>
    <row r="177" spans="1:12" x14ac:dyDescent="0.3">
      <c r="A177" t="s">
        <v>398</v>
      </c>
      <c r="B177" s="7" t="str">
        <f>IF(A177=SalaryDetails!A177,"1","0")</f>
        <v>1</v>
      </c>
      <c r="C177">
        <v>1963</v>
      </c>
      <c r="D177" s="7" t="str">
        <f>IF(C177 = SalaryDetails!B177, "1","0")</f>
        <v>1</v>
      </c>
      <c r="E177">
        <v>1900</v>
      </c>
      <c r="F177" s="7" t="str">
        <f>IF(E177=SalaryDetails!C177,"1","0")</f>
        <v>1</v>
      </c>
      <c r="G177">
        <v>162.83999633789099</v>
      </c>
      <c r="H177" s="7" t="str">
        <f>IF(ROUND(G177,2)=SalaryDetails!D177,"1","0")</f>
        <v>1</v>
      </c>
      <c r="I177">
        <v>3863</v>
      </c>
      <c r="J177" s="7" t="str">
        <f>IF(I177 = SalaryDetails!E177,"1","0")</f>
        <v>1</v>
      </c>
      <c r="K177">
        <v>3700.15991210938</v>
      </c>
      <c r="L177" t="str">
        <f>IF(ROUND(Sheet1!K177,2)=SalaryDetails!F177,"1","0")</f>
        <v>1</v>
      </c>
    </row>
    <row r="178" spans="1:12" x14ac:dyDescent="0.3">
      <c r="A178" t="s">
        <v>400</v>
      </c>
      <c r="B178" s="7" t="str">
        <f>IF(A178=SalaryDetails!A178,"1","0")</f>
        <v>1</v>
      </c>
      <c r="C178">
        <v>1749</v>
      </c>
      <c r="D178" s="7" t="str">
        <f>IF(C178 = SalaryDetails!B178, "1","0")</f>
        <v>1</v>
      </c>
      <c r="E178">
        <v>1050</v>
      </c>
      <c r="F178" s="7" t="str">
        <f>IF(E178=SalaryDetails!C178,"1","0")</f>
        <v>1</v>
      </c>
      <c r="G178">
        <v>146</v>
      </c>
      <c r="H178" s="7" t="str">
        <f>IF(ROUND(G178,2)=SalaryDetails!D178,"1","0")</f>
        <v>1</v>
      </c>
      <c r="I178">
        <v>2799</v>
      </c>
      <c r="J178" s="7" t="str">
        <f>IF(I178 = SalaryDetails!E178,"1","0")</f>
        <v>1</v>
      </c>
      <c r="K178">
        <v>2653</v>
      </c>
      <c r="L178" t="str">
        <f>IF(ROUND(Sheet1!K178,2)=SalaryDetails!F178,"1","0")</f>
        <v>1</v>
      </c>
    </row>
    <row r="179" spans="1:12" x14ac:dyDescent="0.3">
      <c r="A179" t="s">
        <v>402</v>
      </c>
      <c r="B179" s="7" t="str">
        <f>IF(A179=SalaryDetails!A179,"1","0")</f>
        <v>1</v>
      </c>
      <c r="C179">
        <v>2408</v>
      </c>
      <c r="D179" s="7" t="str">
        <f>IF(C179 = SalaryDetails!B179, "1","0")</f>
        <v>1</v>
      </c>
      <c r="E179">
        <v>2000</v>
      </c>
      <c r="F179" s="7" t="str">
        <f>IF(E179=SalaryDetails!C179,"1","0")</f>
        <v>1</v>
      </c>
      <c r="G179">
        <v>316.76998901367199</v>
      </c>
      <c r="H179" s="7" t="str">
        <f>IF(ROUND(G179,2)=SalaryDetails!D179,"1","0")</f>
        <v>1</v>
      </c>
      <c r="I179">
        <v>4408</v>
      </c>
      <c r="J179" s="7" t="str">
        <f>IF(I179 = SalaryDetails!E179,"1","0")</f>
        <v>1</v>
      </c>
      <c r="K179">
        <v>4091.22998046875</v>
      </c>
      <c r="L179" t="str">
        <f>IF(ROUND(Sheet1!K179,2)=SalaryDetails!F179,"1","0")</f>
        <v>1</v>
      </c>
    </row>
    <row r="180" spans="1:12" x14ac:dyDescent="0.3">
      <c r="A180" t="s">
        <v>404</v>
      </c>
      <c r="B180" s="7" t="str">
        <f>IF(A180=SalaryDetails!A180,"1","0")</f>
        <v>1</v>
      </c>
      <c r="C180">
        <v>1590</v>
      </c>
      <c r="D180" s="7" t="str">
        <f>IF(C180 = SalaryDetails!B180, "1","0")</f>
        <v>1</v>
      </c>
      <c r="E180">
        <v>0</v>
      </c>
      <c r="F180" s="7" t="str">
        <f>IF(E180=SalaryDetails!C180,"1","0")</f>
        <v>1</v>
      </c>
      <c r="G180">
        <v>216.16000366210901</v>
      </c>
      <c r="H180" s="7" t="str">
        <f>IF(ROUND(G180,2)=SalaryDetails!D180,"1","0")</f>
        <v>1</v>
      </c>
      <c r="I180">
        <v>1590</v>
      </c>
      <c r="J180" s="7" t="str">
        <f>IF(I180 = SalaryDetails!E180,"1","0")</f>
        <v>1</v>
      </c>
      <c r="K180">
        <v>1373.83996582031</v>
      </c>
      <c r="L180" t="str">
        <f>IF(ROUND(Sheet1!K180,2)=SalaryDetails!F180,"1","0")</f>
        <v>1</v>
      </c>
    </row>
    <row r="181" spans="1:12" x14ac:dyDescent="0.3">
      <c r="A181" t="s">
        <v>406</v>
      </c>
      <c r="B181" s="7" t="str">
        <f>IF(A181=SalaryDetails!A181,"1","0")</f>
        <v>1</v>
      </c>
      <c r="C181">
        <v>2436</v>
      </c>
      <c r="D181" s="7" t="str">
        <f>IF(C181 = SalaryDetails!B181, "1","0")</f>
        <v>1</v>
      </c>
      <c r="E181">
        <v>359.1201171875</v>
      </c>
      <c r="F181" s="9" t="str">
        <f>IF(E181=SalaryDetails!C181,"1","0")</f>
        <v>0</v>
      </c>
      <c r="G181">
        <v>-431.759765625</v>
      </c>
      <c r="H181" s="7" t="str">
        <f>IF(ROUND(G181,2)=SalaryDetails!D181,"1","0")</f>
        <v>0</v>
      </c>
      <c r="I181">
        <v>3586</v>
      </c>
      <c r="J181" s="7" t="str">
        <f>IF(I181 = SalaryDetails!E181,"1","0")</f>
        <v>1</v>
      </c>
      <c r="K181">
        <v>3226.8798828125</v>
      </c>
      <c r="L181" t="str">
        <f>IF(ROUND(Sheet1!K181,2)=SalaryDetails!F181,"1","0")</f>
        <v>1</v>
      </c>
    </row>
    <row r="182" spans="1:12" x14ac:dyDescent="0.3">
      <c r="A182" t="s">
        <v>408</v>
      </c>
      <c r="B182" s="7" t="str">
        <f>IF(A182=SalaryDetails!A182,"1","0")</f>
        <v>1</v>
      </c>
      <c r="C182">
        <v>2473</v>
      </c>
      <c r="D182" s="7" t="str">
        <f>IF(C182 = SalaryDetails!B182, "1","0")</f>
        <v>1</v>
      </c>
      <c r="E182">
        <v>700</v>
      </c>
      <c r="F182" s="7" t="str">
        <f>IF(E182=SalaryDetails!C182,"1","0")</f>
        <v>1</v>
      </c>
      <c r="G182">
        <v>157.30999755859401</v>
      </c>
      <c r="H182" s="7" t="str">
        <f>IF(ROUND(G182,2)=SalaryDetails!D182,"1","0")</f>
        <v>1</v>
      </c>
      <c r="I182">
        <v>3173</v>
      </c>
      <c r="J182" s="7" t="str">
        <f>IF(I182 = SalaryDetails!E182,"1","0")</f>
        <v>1</v>
      </c>
      <c r="K182">
        <v>3015.68994140625</v>
      </c>
      <c r="L182" t="str">
        <f>IF(ROUND(Sheet1!K182,2)=SalaryDetails!F182,"1","0")</f>
        <v>1</v>
      </c>
    </row>
    <row r="183" spans="1:12" x14ac:dyDescent="0.3">
      <c r="A183" t="s">
        <v>410</v>
      </c>
      <c r="B183" s="7" t="str">
        <f>IF(A183=SalaryDetails!A183,"1","0")</f>
        <v>1</v>
      </c>
      <c r="C183">
        <v>3681</v>
      </c>
      <c r="D183" s="7" t="str">
        <f>IF(C183 = SalaryDetails!B183, "1","0")</f>
        <v>1</v>
      </c>
      <c r="E183">
        <v>1700</v>
      </c>
      <c r="F183" s="7" t="str">
        <f>IF(E183=SalaryDetails!C183,"1","0")</f>
        <v>1</v>
      </c>
      <c r="G183">
        <v>302.08999633789102</v>
      </c>
      <c r="H183" s="7" t="str">
        <f>IF(ROUND(G183,2)=SalaryDetails!D183,"1","0")</f>
        <v>1</v>
      </c>
      <c r="I183">
        <v>5381</v>
      </c>
      <c r="J183" s="7" t="str">
        <f>IF(I183 = SalaryDetails!E183,"1","0")</f>
        <v>1</v>
      </c>
      <c r="K183">
        <v>5078.91015625</v>
      </c>
      <c r="L183" t="str">
        <f>IF(ROUND(Sheet1!K183,2)=SalaryDetails!F183,"1","0")</f>
        <v>1</v>
      </c>
    </row>
    <row r="184" spans="1:12" x14ac:dyDescent="0.3">
      <c r="A184" t="s">
        <v>412</v>
      </c>
      <c r="B184" s="7" t="str">
        <f>IF(A184=SalaryDetails!A184,"1","0")</f>
        <v>1</v>
      </c>
      <c r="C184">
        <v>2681</v>
      </c>
      <c r="D184" s="7" t="str">
        <f>IF(C184 = SalaryDetails!B184, "1","0")</f>
        <v>1</v>
      </c>
      <c r="E184">
        <v>1600</v>
      </c>
      <c r="F184" s="7" t="str">
        <f>IF(E184=SalaryDetails!C184,"1","0")</f>
        <v>1</v>
      </c>
      <c r="G184">
        <v>388.01998901367199</v>
      </c>
      <c r="H184" s="7" t="str">
        <f>IF(ROUND(G184,2)=SalaryDetails!D184,"1","0")</f>
        <v>1</v>
      </c>
      <c r="I184">
        <v>4281</v>
      </c>
      <c r="J184" s="7" t="str">
        <f>IF(I184 = SalaryDetails!E184,"1","0")</f>
        <v>1</v>
      </c>
      <c r="K184">
        <v>3892.97998046875</v>
      </c>
      <c r="L184" t="str">
        <f>IF(ROUND(Sheet1!K184,2)=SalaryDetails!F184,"1","0")</f>
        <v>1</v>
      </c>
    </row>
    <row r="185" spans="1:12" x14ac:dyDescent="0.3">
      <c r="A185" t="s">
        <v>414</v>
      </c>
      <c r="B185" s="7" t="str">
        <f>IF(A185=SalaryDetails!A185,"1","0")</f>
        <v>1</v>
      </c>
      <c r="C185" s="8">
        <v>3986</v>
      </c>
      <c r="D185" s="7" t="str">
        <f>IF(C185 = SalaryDetails!B185, "1","0")</f>
        <v>1</v>
      </c>
      <c r="E185" s="8">
        <v>1600</v>
      </c>
      <c r="F185" s="7" t="str">
        <f>IF(E185=SalaryDetails!C185,"1","0")</f>
        <v>1</v>
      </c>
      <c r="G185" s="8">
        <v>279.36</v>
      </c>
      <c r="H185" s="7" t="str">
        <f>IF(ROUND(G185,2)=SalaryDetails!D185,"1","0")</f>
        <v>1</v>
      </c>
      <c r="I185" s="8">
        <v>5586</v>
      </c>
      <c r="J185" s="7" t="str">
        <f>IF(I185 = SalaryDetails!E185,"1","0")</f>
        <v>1</v>
      </c>
      <c r="K185" s="8">
        <v>5306.64</v>
      </c>
      <c r="L185" t="str">
        <f>IF(ROUND(Sheet1!K185,2)=SalaryDetails!F185,"1","0")</f>
        <v>1</v>
      </c>
    </row>
    <row r="186" spans="1:12" x14ac:dyDescent="0.3">
      <c r="A186" t="s">
        <v>416</v>
      </c>
      <c r="B186" s="7" t="str">
        <f>IF(A186=SalaryDetails!A186,"1","0")</f>
        <v>1</v>
      </c>
      <c r="C186">
        <v>3509</v>
      </c>
      <c r="D186" s="7" t="str">
        <f>IF(C186 = SalaryDetails!B186, "1","0")</f>
        <v>1</v>
      </c>
      <c r="E186">
        <v>50</v>
      </c>
      <c r="F186" s="7" t="str">
        <f>IF(E186=SalaryDetails!C186,"1","0")</f>
        <v>1</v>
      </c>
      <c r="G186">
        <v>285.70001220703102</v>
      </c>
      <c r="H186" s="7" t="str">
        <f>IF(ROUND(G186,2)=SalaryDetails!D186,"1","0")</f>
        <v>1</v>
      </c>
      <c r="I186">
        <v>3559</v>
      </c>
      <c r="J186" s="7" t="str">
        <f>IF(I186 = SalaryDetails!E186,"1","0")</f>
        <v>1</v>
      </c>
      <c r="K186">
        <v>3273.30004882813</v>
      </c>
      <c r="L186" t="str">
        <f>IF(ROUND(Sheet1!K186,2)=SalaryDetails!F186,"1","0")</f>
        <v>1</v>
      </c>
    </row>
    <row r="187" spans="1:12" x14ac:dyDescent="0.3">
      <c r="A187" t="s">
        <v>418</v>
      </c>
      <c r="B187" s="7" t="str">
        <f>IF(A187=SalaryDetails!A187,"1","0")</f>
        <v>1</v>
      </c>
      <c r="C187">
        <v>2611</v>
      </c>
      <c r="D187" s="7" t="str">
        <f>IF(C187 = SalaryDetails!B187, "1","0")</f>
        <v>1</v>
      </c>
      <c r="E187">
        <v>1500</v>
      </c>
      <c r="F187" s="7" t="str">
        <f>IF(E187=SalaryDetails!C187,"1","0")</f>
        <v>1</v>
      </c>
      <c r="G187">
        <v>382.39999389648398</v>
      </c>
      <c r="H187" s="7" t="str">
        <f>IF(ROUND(G187,2)=SalaryDetails!D187,"1","0")</f>
        <v>1</v>
      </c>
      <c r="I187">
        <v>4111</v>
      </c>
      <c r="J187" s="7" t="str">
        <f>IF(I187 = SalaryDetails!E187,"1","0")</f>
        <v>1</v>
      </c>
      <c r="K187">
        <v>3728.60009765625</v>
      </c>
      <c r="L187" t="str">
        <f>IF(ROUND(Sheet1!K187,2)=SalaryDetails!F187,"1","0")</f>
        <v>1</v>
      </c>
    </row>
    <row r="188" spans="1:12" x14ac:dyDescent="0.3">
      <c r="A188" t="s">
        <v>420</v>
      </c>
      <c r="B188" s="7" t="str">
        <f>IF(A188=SalaryDetails!A188,"1","0")</f>
        <v>1</v>
      </c>
      <c r="C188">
        <v>3845</v>
      </c>
      <c r="D188" s="7" t="str">
        <f>IF(C188 = SalaryDetails!B188, "1","0")</f>
        <v>1</v>
      </c>
      <c r="E188">
        <v>1200</v>
      </c>
      <c r="F188" s="7" t="str">
        <f>IF(E188=SalaryDetails!C188,"1","0")</f>
        <v>1</v>
      </c>
      <c r="G188">
        <v>564.719970703125</v>
      </c>
      <c r="H188" s="7" t="str">
        <f>IF(ROUND(G188,2)=SalaryDetails!D188,"1","0")</f>
        <v>1</v>
      </c>
      <c r="I188">
        <v>5045</v>
      </c>
      <c r="J188" s="7" t="str">
        <f>IF(I188 = SalaryDetails!E188,"1","0")</f>
        <v>1</v>
      </c>
      <c r="K188">
        <v>4480.27978515625</v>
      </c>
      <c r="L188" t="str">
        <f>IF(ROUND(Sheet1!K188,2)=SalaryDetails!F188,"1","0")</f>
        <v>1</v>
      </c>
    </row>
    <row r="189" spans="1:12" x14ac:dyDescent="0.3">
      <c r="A189" t="s">
        <v>422</v>
      </c>
      <c r="B189" s="7" t="str">
        <f>IF(A189=SalaryDetails!A189,"1","0")</f>
        <v>1</v>
      </c>
      <c r="C189">
        <v>2809</v>
      </c>
      <c r="D189" s="7" t="str">
        <f>IF(C189 = SalaryDetails!B189, "1","0")</f>
        <v>1</v>
      </c>
      <c r="E189">
        <v>222.320068359375</v>
      </c>
      <c r="F189" s="9" t="str">
        <f>IF(E189=SalaryDetails!C189,"1","0")</f>
        <v>0</v>
      </c>
      <c r="G189">
        <v>394.64013671875</v>
      </c>
      <c r="H189" s="7" t="str">
        <f>IF(ROUND(G189,2)=SalaryDetails!D189,"1","0")</f>
        <v>0</v>
      </c>
      <c r="I189">
        <v>2859</v>
      </c>
      <c r="J189" s="7" t="str">
        <f>IF(I189 = SalaryDetails!E189,"1","0")</f>
        <v>1</v>
      </c>
      <c r="K189">
        <v>2636.67993164063</v>
      </c>
      <c r="L189" t="str">
        <f>IF(ROUND(Sheet1!K189,2)=SalaryDetails!F189,"1","0")</f>
        <v>1</v>
      </c>
    </row>
    <row r="190" spans="1:12" x14ac:dyDescent="0.3">
      <c r="A190" t="s">
        <v>424</v>
      </c>
      <c r="B190" s="7" t="str">
        <f>IF(A190=SalaryDetails!A190,"1","0")</f>
        <v>1</v>
      </c>
      <c r="C190">
        <v>2140</v>
      </c>
      <c r="D190" s="7" t="str">
        <f>IF(C190 = SalaryDetails!B190, "1","0")</f>
        <v>1</v>
      </c>
      <c r="E190">
        <v>600</v>
      </c>
      <c r="F190" s="7" t="str">
        <f>IF(E190=SalaryDetails!C190,"1","0")</f>
        <v>1</v>
      </c>
      <c r="G190">
        <v>255.72000122070301</v>
      </c>
      <c r="H190" s="7" t="str">
        <f>IF(ROUND(G190,2)=SalaryDetails!D190,"1","0")</f>
        <v>1</v>
      </c>
      <c r="I190">
        <v>2740</v>
      </c>
      <c r="J190" s="7" t="str">
        <f>IF(I190 = SalaryDetails!E190,"1","0")</f>
        <v>1</v>
      </c>
      <c r="K190">
        <v>2484.28002929688</v>
      </c>
      <c r="L190" t="str">
        <f>IF(ROUND(Sheet1!K190,2)=SalaryDetails!F190,"1","0")</f>
        <v>1</v>
      </c>
    </row>
    <row r="191" spans="1:12" x14ac:dyDescent="0.3">
      <c r="A191" t="s">
        <v>426</v>
      </c>
      <c r="B191" s="7" t="str">
        <f>IF(A191=SalaryDetails!A191,"1","0")</f>
        <v>1</v>
      </c>
      <c r="C191">
        <v>1475</v>
      </c>
      <c r="D191" s="7" t="str">
        <f>IF(C191 = SalaryDetails!B191, "1","0")</f>
        <v>1</v>
      </c>
      <c r="E191">
        <v>150</v>
      </c>
      <c r="F191" s="7" t="str">
        <f>IF(E191=SalaryDetails!C191,"1","0")</f>
        <v>1</v>
      </c>
      <c r="G191">
        <v>146.169998168945</v>
      </c>
      <c r="H191" s="7" t="str">
        <f>IF(ROUND(G191,2)=SalaryDetails!D191,"1","0")</f>
        <v>1</v>
      </c>
      <c r="I191">
        <v>1625</v>
      </c>
      <c r="J191" s="7" t="str">
        <f>IF(I191 = SalaryDetails!E191,"1","0")</f>
        <v>1</v>
      </c>
      <c r="K191">
        <v>1478.82995605469</v>
      </c>
      <c r="L191" t="str">
        <f>IF(ROUND(Sheet1!K191,2)=SalaryDetails!F191,"1","0")</f>
        <v>1</v>
      </c>
    </row>
    <row r="192" spans="1:12" x14ac:dyDescent="0.3">
      <c r="A192" t="s">
        <v>428</v>
      </c>
      <c r="B192" s="7" t="str">
        <f>IF(A192=SalaryDetails!A192,"1","0")</f>
        <v>1</v>
      </c>
      <c r="C192">
        <v>1431</v>
      </c>
      <c r="D192" s="7" t="str">
        <f>IF(C192 = SalaryDetails!B192, "1","0")</f>
        <v>1</v>
      </c>
      <c r="E192">
        <v>1000</v>
      </c>
      <c r="F192" s="7" t="str">
        <f>IF(E192=SalaryDetails!C192,"1","0")</f>
        <v>1</v>
      </c>
      <c r="G192">
        <v>153.96000671386699</v>
      </c>
      <c r="H192" s="7" t="str">
        <f>IF(ROUND(G192,2)=SalaryDetails!D192,"1","0")</f>
        <v>1</v>
      </c>
      <c r="I192">
        <v>2431</v>
      </c>
      <c r="J192" s="7" t="str">
        <f>IF(I192 = SalaryDetails!E192,"1","0")</f>
        <v>1</v>
      </c>
      <c r="K192">
        <v>2277.0400390625</v>
      </c>
      <c r="L192" t="str">
        <f>IF(ROUND(Sheet1!K192,2)=SalaryDetails!F192,"1","0")</f>
        <v>1</v>
      </c>
    </row>
    <row r="193" spans="1:12" x14ac:dyDescent="0.3">
      <c r="A193" t="s">
        <v>430</v>
      </c>
      <c r="B193" s="7" t="str">
        <f>IF(A193=SalaryDetails!A193,"1","0")</f>
        <v>1</v>
      </c>
      <c r="C193">
        <v>2430</v>
      </c>
      <c r="D193" s="7" t="str">
        <f>IF(C193 = SalaryDetails!B193, "1","0")</f>
        <v>1</v>
      </c>
      <c r="E193">
        <v>550</v>
      </c>
      <c r="F193" s="7" t="str">
        <f>IF(E193=SalaryDetails!C193,"1","0")</f>
        <v>1</v>
      </c>
      <c r="G193">
        <v>180.41000366210901</v>
      </c>
      <c r="H193" s="7" t="str">
        <f>IF(ROUND(G193,2)=SalaryDetails!D193,"1","0")</f>
        <v>1</v>
      </c>
      <c r="I193">
        <v>2980</v>
      </c>
      <c r="J193" s="7" t="str">
        <f>IF(I193 = SalaryDetails!E193,"1","0")</f>
        <v>1</v>
      </c>
      <c r="K193">
        <v>2799.59008789063</v>
      </c>
      <c r="L193" t="str">
        <f>IF(ROUND(Sheet1!K193,2)=SalaryDetails!F193,"1","0")</f>
        <v>1</v>
      </c>
    </row>
    <row r="194" spans="1:12" x14ac:dyDescent="0.3">
      <c r="A194" t="s">
        <v>432</v>
      </c>
      <c r="B194" s="7" t="str">
        <f>IF(A194=SalaryDetails!A194,"1","0")</f>
        <v>1</v>
      </c>
      <c r="C194">
        <v>2505</v>
      </c>
      <c r="D194" s="7" t="str">
        <f>IF(C194 = SalaryDetails!B194, "1","0")</f>
        <v>1</v>
      </c>
      <c r="E194">
        <v>550</v>
      </c>
      <c r="F194" s="7" t="str">
        <f>IF(E194=SalaryDetails!C194,"1","0")</f>
        <v>1</v>
      </c>
      <c r="G194">
        <v>219.44999694824199</v>
      </c>
      <c r="H194" s="7" t="str">
        <f>IF(ROUND(G194,2)=SalaryDetails!D194,"1","0")</f>
        <v>1</v>
      </c>
      <c r="I194">
        <v>3055</v>
      </c>
      <c r="J194" s="7" t="str">
        <f>IF(I194 = SalaryDetails!E194,"1","0")</f>
        <v>1</v>
      </c>
      <c r="K194">
        <v>2835.55004882813</v>
      </c>
      <c r="L194" t="str">
        <f>IF(ROUND(Sheet1!K194,2)=SalaryDetails!F194,"1","0")</f>
        <v>1</v>
      </c>
    </row>
    <row r="195" spans="1:12" x14ac:dyDescent="0.3">
      <c r="A195" t="s">
        <v>434</v>
      </c>
      <c r="B195" s="7" t="str">
        <f>IF(A195=SalaryDetails!A195,"1","0")</f>
        <v>1</v>
      </c>
      <c r="C195">
        <v>1436</v>
      </c>
      <c r="D195" s="7" t="str">
        <f>IF(C195 = SalaryDetails!B195, "1","0")</f>
        <v>1</v>
      </c>
      <c r="E195">
        <v>400</v>
      </c>
      <c r="F195" s="7" t="str">
        <f>IF(E195=SalaryDetails!C195,"1","0")</f>
        <v>1</v>
      </c>
      <c r="G195">
        <v>189.05000305175801</v>
      </c>
      <c r="H195" s="7" t="str">
        <f>IF(ROUND(G195,2)=SalaryDetails!D195,"1","0")</f>
        <v>1</v>
      </c>
      <c r="I195">
        <v>1836</v>
      </c>
      <c r="J195" s="7" t="str">
        <f>IF(I195 = SalaryDetails!E195,"1","0")</f>
        <v>1</v>
      </c>
      <c r="K195">
        <v>1646.94995117188</v>
      </c>
      <c r="L195" t="str">
        <f>IF(ROUND(Sheet1!K195,2)=SalaryDetails!F195,"1","0")</f>
        <v>1</v>
      </c>
    </row>
    <row r="196" spans="1:12" x14ac:dyDescent="0.3">
      <c r="A196" t="s">
        <v>436</v>
      </c>
      <c r="B196" s="7" t="str">
        <f>IF(A196=SalaryDetails!A196,"1","0")</f>
        <v>1</v>
      </c>
      <c r="C196">
        <v>3042</v>
      </c>
      <c r="D196" s="7" t="str">
        <f>IF(C196 = SalaryDetails!B196, "1","0")</f>
        <v>1</v>
      </c>
      <c r="E196">
        <v>150</v>
      </c>
      <c r="F196" s="7" t="str">
        <f>IF(E196=SalaryDetails!C196,"1","0")</f>
        <v>1</v>
      </c>
      <c r="G196">
        <v>271.63000488281301</v>
      </c>
      <c r="H196" s="7" t="str">
        <f>IF(ROUND(G196,2)=SalaryDetails!D196,"1","0")</f>
        <v>1</v>
      </c>
      <c r="I196">
        <v>3192</v>
      </c>
      <c r="J196" s="7" t="str">
        <f>IF(I196 = SalaryDetails!E196,"1","0")</f>
        <v>1</v>
      </c>
      <c r="K196">
        <v>2920.3701171875</v>
      </c>
      <c r="L196" t="str">
        <f>IF(ROUND(Sheet1!K196,2)=SalaryDetails!F196,"1","0")</f>
        <v>1</v>
      </c>
    </row>
    <row r="197" spans="1:12" x14ac:dyDescent="0.3">
      <c r="A197" t="s">
        <v>438</v>
      </c>
      <c r="B197" s="7" t="str">
        <f>IF(A197=SalaryDetails!A197,"1","0")</f>
        <v>1</v>
      </c>
      <c r="C197">
        <v>1970</v>
      </c>
      <c r="D197" s="7" t="str">
        <f>IF(C197 = SalaryDetails!B197, "1","0")</f>
        <v>1</v>
      </c>
      <c r="E197">
        <v>650</v>
      </c>
      <c r="F197" s="7" t="str">
        <f>IF(E197=SalaryDetails!C197,"1","0")</f>
        <v>1</v>
      </c>
      <c r="G197">
        <v>120.94000244140599</v>
      </c>
      <c r="H197" s="7" t="str">
        <f>IF(ROUND(G197,2)=SalaryDetails!D197,"1","0")</f>
        <v>1</v>
      </c>
      <c r="I197">
        <v>2620</v>
      </c>
      <c r="J197" s="7" t="str">
        <f>IF(I197 = SalaryDetails!E197,"1","0")</f>
        <v>1</v>
      </c>
      <c r="K197">
        <v>2499.06005859375</v>
      </c>
      <c r="L197" t="str">
        <f>IF(ROUND(Sheet1!K197,2)=SalaryDetails!F197,"1","0")</f>
        <v>1</v>
      </c>
    </row>
    <row r="198" spans="1:12" x14ac:dyDescent="0.3">
      <c r="A198" t="s">
        <v>440</v>
      </c>
      <c r="B198" s="7" t="str">
        <f>IF(A198=SalaryDetails!A198,"1","0")</f>
        <v>1</v>
      </c>
      <c r="C198">
        <v>1680</v>
      </c>
      <c r="D198" s="7" t="str">
        <f>IF(C198 = SalaryDetails!B198, "1","0")</f>
        <v>1</v>
      </c>
      <c r="E198">
        <v>1250</v>
      </c>
      <c r="F198" s="7" t="str">
        <f>IF(E198=SalaryDetails!C198,"1","0")</f>
        <v>1</v>
      </c>
      <c r="G198">
        <v>178.72999572753901</v>
      </c>
      <c r="H198" s="7" t="str">
        <f>IF(ROUND(G198,2)=SalaryDetails!D198,"1","0")</f>
        <v>1</v>
      </c>
      <c r="I198">
        <v>2930</v>
      </c>
      <c r="J198" s="7" t="str">
        <f>IF(I198 = SalaryDetails!E198,"1","0")</f>
        <v>1</v>
      </c>
      <c r="K198">
        <v>2751.27001953125</v>
      </c>
      <c r="L198" t="str">
        <f>IF(ROUND(Sheet1!K198,2)=SalaryDetails!F198,"1","0")</f>
        <v>1</v>
      </c>
    </row>
    <row r="199" spans="1:12" x14ac:dyDescent="0.3">
      <c r="A199" t="s">
        <v>442</v>
      </c>
      <c r="B199" s="7" t="str">
        <f>IF(A199=SalaryDetails!A199,"1","0")</f>
        <v>1</v>
      </c>
      <c r="C199">
        <v>2671</v>
      </c>
      <c r="D199" s="7" t="str">
        <f>IF(C199 = SalaryDetails!B199, "1","0")</f>
        <v>1</v>
      </c>
      <c r="E199">
        <v>1450</v>
      </c>
      <c r="F199" s="7" t="str">
        <f>IF(E199=SalaryDetails!C199,"1","0")</f>
        <v>1</v>
      </c>
      <c r="G199">
        <v>291.73001098632801</v>
      </c>
      <c r="H199" s="7" t="str">
        <f>IF(ROUND(G199,2)=SalaryDetails!D199,"1","0")</f>
        <v>1</v>
      </c>
      <c r="I199">
        <v>4121</v>
      </c>
      <c r="J199" s="7" t="str">
        <f>IF(I199 = SalaryDetails!E199,"1","0")</f>
        <v>1</v>
      </c>
      <c r="K199">
        <v>3829.27001953125</v>
      </c>
      <c r="L199" t="str">
        <f>IF(ROUND(Sheet1!K199,2)=SalaryDetails!F199,"1","0")</f>
        <v>1</v>
      </c>
    </row>
    <row r="200" spans="1:12" x14ac:dyDescent="0.3">
      <c r="A200" t="s">
        <v>444</v>
      </c>
      <c r="B200" s="7" t="str">
        <f>IF(A200=SalaryDetails!A200,"1","0")</f>
        <v>1</v>
      </c>
      <c r="C200">
        <v>1387</v>
      </c>
      <c r="D200" s="7" t="str">
        <f>IF(C200 = SalaryDetails!B200, "1","0")</f>
        <v>1</v>
      </c>
      <c r="E200">
        <v>1750</v>
      </c>
      <c r="F200" s="7" t="str">
        <f>IF(E200=SalaryDetails!C200,"1","0")</f>
        <v>1</v>
      </c>
      <c r="G200">
        <v>145.02999877929699</v>
      </c>
      <c r="H200" s="7" t="str">
        <f>IF(ROUND(G200,2)=SalaryDetails!D200,"1","0")</f>
        <v>1</v>
      </c>
      <c r="I200">
        <v>3137</v>
      </c>
      <c r="J200" s="7" t="str">
        <f>IF(I200 = SalaryDetails!E200,"1","0")</f>
        <v>1</v>
      </c>
      <c r="K200">
        <v>2991.96997070313</v>
      </c>
      <c r="L200" t="str">
        <f>IF(ROUND(Sheet1!K200,2)=SalaryDetails!F200,"1","0")</f>
        <v>1</v>
      </c>
    </row>
    <row r="201" spans="1:12" x14ac:dyDescent="0.3">
      <c r="A201" t="s">
        <v>446</v>
      </c>
      <c r="B201" s="7" t="str">
        <f>IF(A201=SalaryDetails!A201,"1","0")</f>
        <v>1</v>
      </c>
      <c r="C201">
        <v>3533</v>
      </c>
      <c r="D201" s="7" t="str">
        <f>IF(C201 = SalaryDetails!B201, "1","0")</f>
        <v>1</v>
      </c>
      <c r="E201">
        <v>1050</v>
      </c>
      <c r="F201" s="7" t="str">
        <f>IF(E201=SalaryDetails!C201,"1","0")</f>
        <v>1</v>
      </c>
      <c r="G201">
        <v>417.5</v>
      </c>
      <c r="H201" s="7" t="str">
        <f>IF(ROUND(G201,2)=SalaryDetails!D201,"1","0")</f>
        <v>1</v>
      </c>
      <c r="I201">
        <v>4583</v>
      </c>
      <c r="J201" s="7" t="str">
        <f>IF(I201 = SalaryDetails!E201,"1","0")</f>
        <v>1</v>
      </c>
      <c r="K201">
        <v>4165.5</v>
      </c>
      <c r="L201" t="str">
        <f>IF(ROUND(Sheet1!K201,2)=SalaryDetails!F201,"1","0")</f>
        <v>1</v>
      </c>
    </row>
    <row r="209" spans="5:5" x14ac:dyDescent="0.3">
      <c r="E209" t="s">
        <v>460</v>
      </c>
    </row>
    <row r="210" spans="5:5" x14ac:dyDescent="0.3">
      <c r="E210" t="s">
        <v>461</v>
      </c>
    </row>
  </sheetData>
  <autoFilter ref="A1:L201" xr:uid="{78D93296-80E2-469E-921C-97D772F4D9BC}">
    <sortState xmlns:xlrd2="http://schemas.microsoft.com/office/spreadsheetml/2017/richdata2" ref="A2:L201">
      <sortCondition ref="B1:B20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SalaryDetails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2025-09-25T12:02:35Z</dcterms:created>
  <dcterms:modified xsi:type="dcterms:W3CDTF">2025-10-01T05:45:11Z</dcterms:modified>
</cp:coreProperties>
</file>